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АЖНО" sheetId="1" state="visible" r:id="rId1"/>
    <sheet name="ЖУРНАЛ" sheetId="2" state="visible" r:id="rId2"/>
    <sheet name="ПОРТФЕЙЛ" sheetId="3" state="visible" r:id="rId3"/>
    <sheet name="МЕСЕЧЕН ОБЗОР" sheetId="4" state="visible" r:id="rId4"/>
    <sheet name="ПСИХОЛОГИЯ" sheetId="5" state="visible" r:id="rId5"/>
    <sheet name="ГОДИШЕН ПРЕГЛЕД" sheetId="6" state="visible" r:id="rId6"/>
  </sheets>
  <definedNames>
    <definedName name="_xlnm._FilterDatabase" localSheetId="1" hidden="1">'ЖУРНАЛ'!$A$3:$R$3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00000"/>
    <numFmt numFmtId="166" formatCode="0.0"/>
  </numFmts>
  <fonts count="29">
    <font>
      <name val="Calibri"/>
      <family val="2"/>
      <color theme="1"/>
      <sz val="11"/>
      <scheme val="minor"/>
    </font>
    <font>
      <name val="Arial"/>
      <b val="1"/>
      <color rgb="000D0D0D"/>
      <sz val="13"/>
    </font>
    <font>
      <name val="Arial"/>
      <b val="1"/>
      <color rgb="00F59E0B"/>
      <sz val="13"/>
    </font>
    <font>
      <name val="Arial"/>
      <b val="1"/>
      <color rgb="00F59E0B"/>
      <sz val="11"/>
    </font>
    <font>
      <name val="Arial"/>
      <color rgb="00F5F5F5"/>
      <sz val="10"/>
    </font>
    <font>
      <name val="Arial"/>
      <color rgb="00B0B0B0"/>
      <sz val="9"/>
    </font>
    <font>
      <name val="Arial"/>
      <i val="1"/>
      <color rgb="00B0B0B0"/>
      <sz val="9"/>
    </font>
    <font>
      <name val="Arial"/>
      <b val="1"/>
      <color rgb="00C9A440"/>
      <sz val="9"/>
    </font>
    <font>
      <name val="Arial"/>
      <b val="1"/>
      <color rgb="00F5F5F5"/>
      <sz val="10"/>
    </font>
    <font>
      <name val="Arial"/>
      <b val="1"/>
      <color rgb="00F59E0B"/>
      <sz val="10"/>
    </font>
    <font>
      <name val="Arial"/>
      <color rgb="00E2C06A"/>
      <sz val="10"/>
    </font>
    <font>
      <name val="Arial"/>
      <color rgb="00B0B0B0"/>
      <sz val="10"/>
    </font>
    <font>
      <name val="Arial"/>
      <color rgb="003B82F6"/>
      <sz val="10"/>
    </font>
    <font>
      <name val="Arial"/>
      <color rgb="008B5CF6"/>
      <sz val="10"/>
    </font>
    <font>
      <name val="Arial"/>
      <b val="1"/>
      <color rgb="00C9A440"/>
      <sz val="10"/>
    </font>
    <font>
      <name val="Arial"/>
      <b val="1"/>
      <color rgb="00F5F5F5"/>
      <sz val="11"/>
    </font>
    <font>
      <name val="Arial"/>
      <b val="1"/>
      <color rgb="00E2C06A"/>
      <sz val="11"/>
    </font>
    <font>
      <name val="Arial"/>
      <color rgb="00E2C06A"/>
      <sz val="9"/>
    </font>
    <font>
      <name val="Arial"/>
      <b val="1"/>
      <color rgb="00E2C06A"/>
      <sz val="9"/>
    </font>
    <font>
      <name val="Arial"/>
      <b val="1"/>
      <color rgb="00E2C06A"/>
      <sz val="10"/>
    </font>
    <font>
      <name val="Arial"/>
      <color rgb="00444455"/>
      <sz val="8"/>
    </font>
    <font>
      <name val="Arial"/>
      <b val="1"/>
      <color rgb="0010B981"/>
      <sz val="10"/>
    </font>
    <font>
      <name val="Arial"/>
      <b val="1"/>
      <color rgb="00EF4444"/>
      <sz val="10"/>
    </font>
    <font>
      <name val="Arial"/>
      <b val="1"/>
      <color rgb="008B5CF6"/>
      <sz val="10"/>
    </font>
    <font>
      <name val="Arial"/>
      <b val="1"/>
      <color rgb="00B0B0B0"/>
      <sz val="10"/>
    </font>
    <font>
      <name val="Arial"/>
      <b val="1"/>
      <color rgb="00EF4444"/>
      <sz val="9"/>
    </font>
    <font>
      <name val="Arial"/>
      <b val="1"/>
      <color rgb="003B82F6"/>
      <sz val="10"/>
    </font>
    <font>
      <name val="Arial"/>
      <b val="1"/>
      <color rgb="00F59E0B"/>
      <sz val="9"/>
    </font>
    <font>
      <name val="Arial"/>
      <color rgb="00B0B0B0"/>
      <sz val="8"/>
    </font>
  </fonts>
  <fills count="13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F59E0B"/>
        <bgColor rgb="00F59E0B"/>
      </patternFill>
    </fill>
    <fill>
      <patternFill patternType="solid">
        <fgColor rgb="0016213E"/>
        <bgColor rgb="0016213E"/>
      </patternFill>
    </fill>
    <fill>
      <patternFill patternType="solid">
        <fgColor rgb="00111118"/>
        <bgColor rgb="00111118"/>
      </patternFill>
    </fill>
    <fill>
      <patternFill patternType="solid">
        <fgColor rgb="000A0A14"/>
        <bgColor rgb="000A0A14"/>
      </patternFill>
    </fill>
    <fill>
      <patternFill patternType="solid">
        <fgColor rgb="00C9A440"/>
        <bgColor rgb="00C9A440"/>
      </patternFill>
    </fill>
    <fill>
      <patternFill patternType="solid">
        <fgColor rgb="000F0F1C"/>
        <bgColor rgb="000F0F1C"/>
      </patternFill>
    </fill>
    <fill>
      <patternFill patternType="solid">
        <fgColor rgb="00EF4444"/>
        <bgColor rgb="00EF4444"/>
      </patternFill>
    </fill>
    <fill>
      <patternFill patternType="solid">
        <fgColor rgb="008B5CF6"/>
        <bgColor rgb="008B5CF6"/>
      </patternFill>
    </fill>
    <fill>
      <patternFill patternType="solid">
        <fgColor rgb="00B0B0B0"/>
        <bgColor rgb="00B0B0B0"/>
      </patternFill>
    </fill>
    <fill>
      <patternFill patternType="solid">
        <fgColor rgb="0010B981"/>
        <bgColor rgb="0010B981"/>
      </patternFill>
    </fill>
  </fills>
  <borders count="23">
    <border>
      <left/>
      <right/>
      <top/>
      <bottom/>
      <diagonal/>
    </border>
    <border>
      <bottom style="thin">
        <color rgb="00444455"/>
      </bottom>
    </border>
    <border>
      <right/>
      <bottom style="thin">
        <color rgb="00444455"/>
      </bottom>
    </border>
    <border>
      <left/>
      <right/>
      <top/>
      <bottom style="thin">
        <color rgb="00444455"/>
      </bottom>
      <diagonal/>
    </border>
    <border>
      <left style="thin">
        <color rgb="00444455"/>
      </left>
      <right style="thin">
        <color rgb="00444455"/>
      </right>
      <top style="thin">
        <color rgb="00444455"/>
      </top>
      <bottom style="thin">
        <color rgb="00444455"/>
      </bottom>
    </border>
    <border>
      <bottom style="thin">
        <color rgb="00C9A440"/>
      </bottom>
    </border>
    <border>
      <left/>
      <right/>
      <top/>
      <bottom style="thin">
        <color rgb="00C9A440"/>
      </bottom>
      <diagonal/>
    </border>
    <border>
      <right/>
      <bottom style="thin">
        <color rgb="00C9A440"/>
      </bottom>
    </border>
    <border>
      <bottom style="thin">
        <color rgb="00EF4444"/>
      </bottom>
    </border>
    <border>
      <right/>
      <bottom style="thin">
        <color rgb="00EF4444"/>
      </bottom>
    </border>
    <border>
      <left/>
      <right/>
      <top/>
      <bottom style="thin">
        <color rgb="00EF4444"/>
      </bottom>
      <diagonal/>
    </border>
    <border>
      <bottom style="thin">
        <color rgb="00F59E0B"/>
      </bottom>
    </border>
    <border>
      <right/>
      <bottom style="thin">
        <color rgb="00F59E0B"/>
      </bottom>
    </border>
    <border>
      <left/>
      <right/>
      <top/>
      <bottom style="thin">
        <color rgb="00F59E0B"/>
      </bottom>
      <diagonal/>
    </border>
    <border>
      <bottom style="thin">
        <color rgb="003B82F6"/>
      </bottom>
    </border>
    <border>
      <right/>
      <bottom style="thin">
        <color rgb="003B82F6"/>
      </bottom>
    </border>
    <border>
      <left/>
      <right/>
      <top/>
      <bottom style="thin">
        <color rgb="003B82F6"/>
      </bottom>
      <diagonal/>
    </border>
    <border>
      <bottom style="thin">
        <color rgb="0010B981"/>
      </bottom>
    </border>
    <border>
      <right/>
      <bottom style="thin">
        <color rgb="0010B981"/>
      </bottom>
    </border>
    <border>
      <left/>
      <right/>
      <top/>
      <bottom style="thin">
        <color rgb="0010B981"/>
      </bottom>
      <diagonal/>
    </border>
    <border>
      <bottom style="thin">
        <color rgb="00B0B0B0"/>
      </bottom>
    </border>
    <border>
      <right/>
      <bottom style="thin">
        <color rgb="00B0B0B0"/>
      </bottom>
    </border>
    <border>
      <left/>
      <right/>
      <top/>
      <bottom style="thin">
        <color rgb="00B0B0B0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4" borderId="0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0" fillId="0" borderId="3" pivotButton="0" quotePrefix="0" xfId="0"/>
    <xf numFmtId="0" fontId="4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4" fontId="10" fillId="4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8" fillId="4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11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right" vertical="center"/>
    </xf>
    <xf numFmtId="4" fontId="15" fillId="4" borderId="0" applyAlignment="1" pivotButton="0" quotePrefix="0" xfId="0">
      <alignment horizontal="right" vertical="center"/>
    </xf>
    <xf numFmtId="2" fontId="16" fillId="4" borderId="0" applyAlignment="1" pivotButton="0" quotePrefix="0" xfId="0">
      <alignment horizontal="right" vertical="center"/>
    </xf>
    <xf numFmtId="0" fontId="17" fillId="4" borderId="0" pivotButton="0" quotePrefix="0" xfId="0"/>
    <xf numFmtId="0" fontId="18" fillId="4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4" borderId="0" pivotButton="0" quotePrefix="0" xfId="0"/>
    <xf numFmtId="0" fontId="11" fillId="5" borderId="1" applyAlignment="1" pivotButton="0" quotePrefix="0" xfId="0">
      <alignment horizontal="left" vertical="center"/>
    </xf>
    <xf numFmtId="4" fontId="19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4" fontId="19" fillId="6" borderId="1" applyAlignment="1" pivotButton="0" quotePrefix="0" xfId="0">
      <alignment horizontal="right" vertical="center"/>
    </xf>
    <xf numFmtId="4" fontId="19" fillId="4" borderId="1" applyAlignment="1" pivotButton="0" quotePrefix="0" xfId="0">
      <alignment horizontal="right" vertical="center"/>
    </xf>
    <xf numFmtId="0" fontId="19" fillId="4" borderId="0" applyAlignment="1" pivotButton="0" quotePrefix="0" xfId="0">
      <alignment horizontal="left" vertical="center"/>
    </xf>
    <xf numFmtId="0" fontId="18" fillId="4" borderId="4" applyAlignment="1" pivotButton="0" quotePrefix="0" xfId="0">
      <alignment horizontal="center" vertical="center"/>
    </xf>
    <xf numFmtId="9" fontId="4" fillId="8" borderId="5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right" vertical="center"/>
    </xf>
    <xf numFmtId="2" fontId="11" fillId="5" borderId="1" applyAlignment="1" pivotButton="0" quotePrefix="0" xfId="0">
      <alignment horizontal="right" vertical="center"/>
    </xf>
    <xf numFmtId="0" fontId="20" fillId="6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166" fontId="19" fillId="4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4" fillId="8" borderId="7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0" fillId="3" borderId="4" pivotButton="0" quotePrefix="0" xfId="0"/>
    <xf numFmtId="0" fontId="22" fillId="6" borderId="1" applyAlignment="1" pivotButton="0" quotePrefix="0" xfId="0">
      <alignment horizontal="left" vertical="center"/>
    </xf>
    <xf numFmtId="0" fontId="0" fillId="9" borderId="4" pivotButton="0" quotePrefix="0" xfId="0"/>
    <xf numFmtId="0" fontId="23" fillId="6" borderId="1" applyAlignment="1" pivotButton="0" quotePrefix="0" xfId="0">
      <alignment horizontal="left" vertical="center"/>
    </xf>
    <xf numFmtId="0" fontId="0" fillId="10" borderId="4" pivotButton="0" quotePrefix="0" xfId="0"/>
    <xf numFmtId="0" fontId="22" fillId="5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left" vertical="center"/>
    </xf>
    <xf numFmtId="0" fontId="0" fillId="11" borderId="4" pivotButton="0" quotePrefix="0" xfId="0"/>
    <xf numFmtId="0" fontId="21" fillId="5" borderId="1" applyAlignment="1" pivotButton="0" quotePrefix="0" xfId="0">
      <alignment horizontal="left" vertical="center"/>
    </xf>
    <xf numFmtId="0" fontId="0" fillId="12" borderId="4" pivotButton="0" quotePrefix="0" xfId="0"/>
    <xf numFmtId="0" fontId="25" fillId="4" borderId="0" applyAlignment="1" pivotButton="0" quotePrefix="0" xfId="0">
      <alignment horizontal="left" vertical="center"/>
    </xf>
    <xf numFmtId="0" fontId="4" fillId="8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22" fillId="8" borderId="2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4" fontId="8" fillId="4" borderId="2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/>
    </xf>
    <xf numFmtId="0" fontId="4" fillId="8" borderId="7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/>
    </xf>
    <xf numFmtId="0" fontId="4" fillId="8" borderId="12" applyAlignment="1" pivotButton="0" quotePrefix="0" xfId="0">
      <alignment horizontal="left" vertical="center" wrapText="1"/>
    </xf>
    <xf numFmtId="0" fontId="0" fillId="0" borderId="13" pivotButton="0" quotePrefix="0" xfId="0"/>
    <xf numFmtId="0" fontId="26" fillId="4" borderId="0" applyAlignment="1" pivotButton="0" quotePrefix="0" xfId="0">
      <alignment horizontal="left" vertical="center"/>
    </xf>
    <xf numFmtId="0" fontId="4" fillId="8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21" fillId="4" borderId="0" applyAlignment="1" pivotButton="0" quotePrefix="0" xfId="0">
      <alignment horizontal="left" vertical="center"/>
    </xf>
    <xf numFmtId="0" fontId="4" fillId="8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24" fillId="4" borderId="0" applyAlignment="1" pivotButton="0" quotePrefix="0" xfId="0">
      <alignment horizontal="left" vertical="center"/>
    </xf>
    <xf numFmtId="0" fontId="4" fillId="8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27" fillId="4" borderId="0" applyAlignment="1" pivotButton="0" quotePrefix="0" xfId="0">
      <alignment horizontal="left" vertical="center"/>
    </xf>
    <xf numFmtId="0" fontId="28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b val="1"/>
        <color rgb="0010B981"/>
        <sz val="10"/>
      </font>
    </dxf>
    <dxf>
      <font>
        <name val="Arial"/>
        <b val="1"/>
        <color rgb="00EF4444"/>
        <sz val="10"/>
      </font>
    </dxf>
    <dxf>
      <font>
        <name val="Arial"/>
        <b val="1"/>
        <color rgb="00F59E0B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 xml:space="preserve">  ВАЖНО  |  HODLClub</t>
        </is>
      </c>
    </row>
    <row r="2">
      <c r="A2" s="2" t="n"/>
      <c r="B2" s="2" t="n"/>
      <c r="C2" s="2" t="n"/>
      <c r="D2" s="2" t="n"/>
      <c r="E2" s="2" t="n"/>
      <c r="F2" s="2" t="n"/>
    </row>
    <row r="3" ht="28" customHeight="1">
      <c r="A3" s="3" t="inlineStr">
        <is>
          <t>Цялото съдържание е с образователна цел единствено.</t>
        </is>
      </c>
    </row>
    <row r="4">
      <c r="A4" s="2" t="n"/>
      <c r="B4" s="2" t="n"/>
      <c r="C4" s="2" t="n"/>
      <c r="D4" s="2" t="n"/>
      <c r="E4" s="2" t="n"/>
      <c r="F4" s="2" t="n"/>
    </row>
    <row r="5" ht="36" customHeight="1">
      <c r="A5" s="4" t="inlineStr">
        <is>
          <t>Не е финансов съвет.</t>
        </is>
      </c>
      <c r="B5" s="5" t="n"/>
      <c r="C5" s="6" t="inlineStr">
        <is>
          <t>Нищо в тези материали не представлява финансов съвет, инвестиционна препоръка или подкана за покупка или продажба на криптовалути, ценни книжа или друг финансов инструмент.</t>
        </is>
      </c>
      <c r="D5" s="5" t="n"/>
      <c r="E5" s="5" t="n"/>
      <c r="F5" s="5" t="n"/>
    </row>
    <row r="6" ht="36" customHeight="1">
      <c r="A6" s="7" t="inlineStr">
        <is>
          <t>Висок риск.</t>
        </is>
      </c>
      <c r="B6" s="5" t="n"/>
      <c r="C6" s="8" t="inlineStr">
        <is>
          <t>Инвестициите в криптовалути са свързани с висок риск. Стойността им може да спадне значително или до нула. Може да загубите целия инвестиран капитал.</t>
        </is>
      </c>
      <c r="D6" s="5" t="n"/>
      <c r="E6" s="5" t="n"/>
      <c r="F6" s="5" t="n"/>
    </row>
    <row r="7" ht="36" customHeight="1">
      <c r="A7" s="4" t="inlineStr">
        <is>
          <t>Правете собствено проучване (DYOR).</t>
        </is>
      </c>
      <c r="B7" s="5" t="n"/>
      <c r="C7" s="6" t="inlineStr">
        <is>
          <t>Преди всяко инвестиционно решение правете собствено проучване и при нужда се консултирайте с лицензиран финансов консултант.</t>
        </is>
      </c>
      <c r="D7" s="5" t="n"/>
      <c r="E7" s="5" t="n"/>
      <c r="F7" s="5" t="n"/>
    </row>
    <row r="8" ht="36" customHeight="1">
      <c r="A8" s="7" t="inlineStr">
        <is>
          <t>Без отговорност.</t>
        </is>
      </c>
      <c r="B8" s="5" t="n"/>
      <c r="C8" s="8" t="inlineStr">
        <is>
          <t>HODLClub не носи отговорност за финансови загуби или решения, взети въз основа на информацията в тези материали.</t>
        </is>
      </c>
      <c r="D8" s="5" t="n"/>
      <c r="E8" s="5" t="n"/>
      <c r="F8" s="5" t="n"/>
    </row>
    <row r="9" ht="36" customHeight="1">
      <c r="A9" s="4" t="inlineStr">
        <is>
          <t>Само за образование.</t>
        </is>
      </c>
      <c r="B9" s="5" t="n"/>
      <c r="C9" s="6" t="inlineStr">
        <is>
          <t>Всички примери, числа и сценарии са хипотетични и служат единствено за илюстративни и образователни цели.</t>
        </is>
      </c>
      <c r="D9" s="5" t="n"/>
      <c r="E9" s="5" t="n"/>
      <c r="F9" s="5" t="n"/>
    </row>
    <row r="10">
      <c r="A10" s="2" t="n"/>
      <c r="B10" s="2" t="n"/>
      <c r="C10" s="2" t="n"/>
      <c r="D10" s="2" t="n"/>
      <c r="E10" s="2" t="n"/>
      <c r="F10" s="2" t="n"/>
    </row>
    <row r="11">
      <c r="A11" s="9" t="inlineStr">
        <is>
          <t>© HODLClub 2025  |  hodlclub.bg  |  Курс: "Крипто инвестиции за начинаещи"</t>
        </is>
      </c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</sheetData>
  <mergeCells count="13">
    <mergeCell ref="C9:F9"/>
    <mergeCell ref="A11:F11"/>
    <mergeCell ref="A7:B7"/>
    <mergeCell ref="C8:F8"/>
    <mergeCell ref="A1:F1"/>
    <mergeCell ref="A9:B9"/>
    <mergeCell ref="A5:B5"/>
    <mergeCell ref="C6:F6"/>
    <mergeCell ref="C7:F7"/>
    <mergeCell ref="A3:F3"/>
    <mergeCell ref="C5:F5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440"/>
    <outlinePr summaryBelow="1" summaryRight="1"/>
    <pageSetUpPr/>
  </sheetPr>
  <dimension ref="A1:S1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16" customWidth="1" min="4" max="4"/>
    <col width="9" customWidth="1" min="5" max="5"/>
    <col width="13" customWidth="1" min="6" max="6"/>
    <col width="15" customWidth="1" min="7" max="7"/>
    <col width="15" customWidth="1" min="8" max="8"/>
    <col width="15" customWidth="1" min="9" max="9"/>
    <col width="15" customWidth="1" min="10" max="10"/>
    <col width="11" customWidth="1" min="11" max="11"/>
    <col width="14" customWidth="1" min="12" max="12"/>
    <col width="11" customWidth="1" min="13" max="13"/>
    <col width="15" customWidth="1" min="14" max="14"/>
    <col width="16" customWidth="1" min="15" max="15"/>
    <col width="16" customWidth="1" min="16" max="16"/>
    <col width="30" customWidth="1" min="17" max="17"/>
    <col width="30" customWidth="1" min="18" max="18"/>
  </cols>
  <sheetData>
    <row r="1" ht="26" customHeight="1">
      <c r="A1" s="10" t="inlineStr">
        <is>
          <t xml:space="preserve">  КРИПТО ЖУРНАЛ — ДНЕВНИК НА СДЕЛКИТЕ  |  HODLClub</t>
        </is>
      </c>
      <c r="S1" s="2" t="n"/>
    </row>
    <row r="2" ht="18" customHeight="1">
      <c r="A2" s="11" t="inlineStr">
        <is>
          <t>Попълвай след всяка сделка. Автоматично се изчислява P&amp;L и Win Rate.</t>
        </is>
      </c>
      <c r="S2" s="2" t="n"/>
    </row>
    <row r="3" ht="22" customHeight="1">
      <c r="A3" s="12" t="inlineStr">
        <is>
          <t>#</t>
        </is>
      </c>
      <c r="B3" s="12" t="inlineStr">
        <is>
          <t>ДАТА</t>
        </is>
      </c>
      <c r="C3" s="12" t="inlineStr">
        <is>
          <t>МОНЕТА</t>
        </is>
      </c>
      <c r="D3" s="12" t="inlineStr">
        <is>
          <t>БОРСА / ПЛАТФОРМА</t>
        </is>
      </c>
      <c r="E3" s="12" t="inlineStr">
        <is>
          <t>ПОСОКА</t>
        </is>
      </c>
      <c r="F3" s="12" t="inlineStr">
        <is>
          <t>КОЛИЧЕСТВО</t>
        </is>
      </c>
      <c r="G3" s="12" t="inlineStr">
        <is>
          <t>ЦЕНА ПОКУПКА</t>
        </is>
      </c>
      <c r="H3" s="12" t="inlineStr">
        <is>
          <t>ЦЕНА ПРОДАЖБА</t>
        </is>
      </c>
      <c r="I3" s="12" t="inlineStr">
        <is>
          <t>ИНВЕСТИЦИЯ</t>
        </is>
      </c>
      <c r="J3" s="12" t="inlineStr">
        <is>
          <t>СТОЙНОСТ</t>
        </is>
      </c>
      <c r="K3" s="12" t="inlineStr">
        <is>
          <t>ТАКСИ</t>
        </is>
      </c>
      <c r="L3" s="12" t="inlineStr">
        <is>
          <t>P&amp;L (USD)</t>
        </is>
      </c>
      <c r="M3" s="12" t="inlineStr">
        <is>
          <t>P&amp;L (%)</t>
        </is>
      </c>
      <c r="N3" s="12" t="inlineStr">
        <is>
          <t>СТРАТЕГИЯ</t>
        </is>
      </c>
      <c r="O3" s="12" t="inlineStr">
        <is>
          <t>ЕМОЦИЯ ПРЕДИ</t>
        </is>
      </c>
      <c r="P3" s="12" t="inlineStr">
        <is>
          <t>ЕМОЦИЯ СЛЕД</t>
        </is>
      </c>
      <c r="Q3" s="13" t="inlineStr">
        <is>
          <t>ПРИЧИНА / ПЛАН</t>
        </is>
      </c>
      <c r="R3" s="13" t="inlineStr">
        <is>
          <t>ПОУЧЕНИЕ / БЕЛЕЖКИ</t>
        </is>
      </c>
      <c r="S3" s="2" t="n"/>
    </row>
    <row r="4" ht="20" customHeight="1">
      <c r="A4" s="14" t="n">
        <v>1</v>
      </c>
      <c r="B4" s="15" t="inlineStr"/>
      <c r="C4" s="16" t="inlineStr"/>
      <c r="D4" s="17" t="inlineStr"/>
      <c r="E4" s="18" t="inlineStr"/>
      <c r="F4" s="19" t="inlineStr"/>
      <c r="G4" s="20" t="inlineStr"/>
      <c r="H4" s="20" t="inlineStr"/>
      <c r="I4" s="21">
        <f>IF(AND(F4&lt;&gt;"",G4&lt;&gt;""),F4*G4,"")</f>
        <v/>
      </c>
      <c r="J4" s="21">
        <f>IF(AND(F4&lt;&gt;"",H4&lt;&gt;""),F4*H4,"")</f>
        <v/>
      </c>
      <c r="K4" s="22" t="inlineStr"/>
      <c r="L4" s="23">
        <f>IF(AND(I4&lt;&gt;"",J4&lt;&gt;""),J4-I4-IF(K4&lt;&gt;"",K4,0),"")</f>
        <v/>
      </c>
      <c r="M4" s="24">
        <f>IF(AND(L4&lt;&gt;"",I4&lt;&gt;"",I4&lt;&gt;0),L4/I4*100,"")</f>
        <v/>
      </c>
      <c r="N4" s="25" t="inlineStr"/>
      <c r="O4" s="26" t="inlineStr"/>
      <c r="P4" s="26" t="inlineStr"/>
      <c r="Q4" s="27" t="inlineStr"/>
      <c r="R4" s="28" t="inlineStr"/>
      <c r="S4" s="2" t="n"/>
    </row>
    <row r="5" ht="20" customHeight="1">
      <c r="A5" s="29" t="n">
        <v>2</v>
      </c>
      <c r="B5" s="30" t="inlineStr"/>
      <c r="C5" s="31" t="inlineStr"/>
      <c r="D5" s="32" t="inlineStr"/>
      <c r="E5" s="33" t="inlineStr"/>
      <c r="F5" s="34" t="inlineStr"/>
      <c r="G5" s="35" t="inlineStr"/>
      <c r="H5" s="35" t="inlineStr"/>
      <c r="I5" s="21">
        <f>IF(AND(F5&lt;&gt;"",G5&lt;&gt;""),F5*G5,"")</f>
        <v/>
      </c>
      <c r="J5" s="21">
        <f>IF(AND(F5&lt;&gt;"",H5&lt;&gt;""),F5*H5,"")</f>
        <v/>
      </c>
      <c r="K5" s="36" t="inlineStr"/>
      <c r="L5" s="23">
        <f>IF(AND(I5&lt;&gt;"",J5&lt;&gt;""),J5-I5-IF(K5&lt;&gt;"",K5,0),"")</f>
        <v/>
      </c>
      <c r="M5" s="24">
        <f>IF(AND(L5&lt;&gt;"",I5&lt;&gt;"",I5&lt;&gt;0),L5/I5*100,"")</f>
        <v/>
      </c>
      <c r="N5" s="37" t="inlineStr"/>
      <c r="O5" s="38" t="inlineStr"/>
      <c r="P5" s="38" t="inlineStr"/>
      <c r="Q5" s="39" t="inlineStr"/>
      <c r="R5" s="40" t="inlineStr"/>
      <c r="S5" s="2" t="n"/>
    </row>
    <row r="6" ht="20" customHeight="1">
      <c r="A6" s="14" t="n">
        <v>3</v>
      </c>
      <c r="B6" s="15" t="inlineStr"/>
      <c r="C6" s="16" t="inlineStr"/>
      <c r="D6" s="17" t="inlineStr"/>
      <c r="E6" s="18" t="inlineStr"/>
      <c r="F6" s="19" t="inlineStr"/>
      <c r="G6" s="20" t="inlineStr"/>
      <c r="H6" s="20" t="inlineStr"/>
      <c r="I6" s="21">
        <f>IF(AND(F6&lt;&gt;"",G6&lt;&gt;""),F6*G6,"")</f>
        <v/>
      </c>
      <c r="J6" s="21">
        <f>IF(AND(F6&lt;&gt;"",H6&lt;&gt;""),F6*H6,"")</f>
        <v/>
      </c>
      <c r="K6" s="22" t="inlineStr"/>
      <c r="L6" s="23">
        <f>IF(AND(I6&lt;&gt;"",J6&lt;&gt;""),J6-I6-IF(K6&lt;&gt;"",K6,0),"")</f>
        <v/>
      </c>
      <c r="M6" s="24">
        <f>IF(AND(L6&lt;&gt;"",I6&lt;&gt;"",I6&lt;&gt;0),L6/I6*100,"")</f>
        <v/>
      </c>
      <c r="N6" s="25" t="inlineStr"/>
      <c r="O6" s="26" t="inlineStr"/>
      <c r="P6" s="26" t="inlineStr"/>
      <c r="Q6" s="27" t="inlineStr"/>
      <c r="R6" s="28" t="inlineStr"/>
      <c r="S6" s="2" t="n"/>
    </row>
    <row r="7" ht="20" customHeight="1">
      <c r="A7" s="29" t="n">
        <v>4</v>
      </c>
      <c r="B7" s="30" t="inlineStr"/>
      <c r="C7" s="31" t="inlineStr"/>
      <c r="D7" s="32" t="inlineStr"/>
      <c r="E7" s="33" t="inlineStr"/>
      <c r="F7" s="34" t="inlineStr"/>
      <c r="G7" s="35" t="inlineStr"/>
      <c r="H7" s="35" t="inlineStr"/>
      <c r="I7" s="21">
        <f>IF(AND(F7&lt;&gt;"",G7&lt;&gt;""),F7*G7,"")</f>
        <v/>
      </c>
      <c r="J7" s="21">
        <f>IF(AND(F7&lt;&gt;"",H7&lt;&gt;""),F7*H7,"")</f>
        <v/>
      </c>
      <c r="K7" s="36" t="inlineStr"/>
      <c r="L7" s="23">
        <f>IF(AND(I7&lt;&gt;"",J7&lt;&gt;""),J7-I7-IF(K7&lt;&gt;"",K7,0),"")</f>
        <v/>
      </c>
      <c r="M7" s="24">
        <f>IF(AND(L7&lt;&gt;"",I7&lt;&gt;"",I7&lt;&gt;0),L7/I7*100,"")</f>
        <v/>
      </c>
      <c r="N7" s="37" t="inlineStr"/>
      <c r="O7" s="38" t="inlineStr"/>
      <c r="P7" s="38" t="inlineStr"/>
      <c r="Q7" s="39" t="inlineStr"/>
      <c r="R7" s="40" t="inlineStr"/>
      <c r="S7" s="2" t="n"/>
    </row>
    <row r="8" ht="20" customHeight="1">
      <c r="A8" s="14" t="n">
        <v>5</v>
      </c>
      <c r="B8" s="15" t="inlineStr"/>
      <c r="C8" s="16" t="inlineStr"/>
      <c r="D8" s="17" t="inlineStr"/>
      <c r="E8" s="18" t="inlineStr"/>
      <c r="F8" s="19" t="inlineStr"/>
      <c r="G8" s="20" t="inlineStr"/>
      <c r="H8" s="20" t="inlineStr"/>
      <c r="I8" s="21">
        <f>IF(AND(F8&lt;&gt;"",G8&lt;&gt;""),F8*G8,"")</f>
        <v/>
      </c>
      <c r="J8" s="21">
        <f>IF(AND(F8&lt;&gt;"",H8&lt;&gt;""),F8*H8,"")</f>
        <v/>
      </c>
      <c r="K8" s="22" t="inlineStr"/>
      <c r="L8" s="23">
        <f>IF(AND(I8&lt;&gt;"",J8&lt;&gt;""),J8-I8-IF(K8&lt;&gt;"",K8,0),"")</f>
        <v/>
      </c>
      <c r="M8" s="24">
        <f>IF(AND(L8&lt;&gt;"",I8&lt;&gt;"",I8&lt;&gt;0),L8/I8*100,"")</f>
        <v/>
      </c>
      <c r="N8" s="25" t="inlineStr"/>
      <c r="O8" s="26" t="inlineStr"/>
      <c r="P8" s="26" t="inlineStr"/>
      <c r="Q8" s="27" t="inlineStr"/>
      <c r="R8" s="28" t="inlineStr"/>
      <c r="S8" s="2" t="n"/>
    </row>
    <row r="9" ht="20" customHeight="1">
      <c r="A9" s="29" t="n">
        <v>6</v>
      </c>
      <c r="B9" s="30" t="inlineStr"/>
      <c r="C9" s="31" t="inlineStr"/>
      <c r="D9" s="32" t="inlineStr"/>
      <c r="E9" s="33" t="inlineStr"/>
      <c r="F9" s="34" t="inlineStr"/>
      <c r="G9" s="35" t="inlineStr"/>
      <c r="H9" s="35" t="inlineStr"/>
      <c r="I9" s="21">
        <f>IF(AND(F9&lt;&gt;"",G9&lt;&gt;""),F9*G9,"")</f>
        <v/>
      </c>
      <c r="J9" s="21">
        <f>IF(AND(F9&lt;&gt;"",H9&lt;&gt;""),F9*H9,"")</f>
        <v/>
      </c>
      <c r="K9" s="36" t="inlineStr"/>
      <c r="L9" s="23">
        <f>IF(AND(I9&lt;&gt;"",J9&lt;&gt;""),J9-I9-IF(K9&lt;&gt;"",K9,0),"")</f>
        <v/>
      </c>
      <c r="M9" s="24">
        <f>IF(AND(L9&lt;&gt;"",I9&lt;&gt;"",I9&lt;&gt;0),L9/I9*100,"")</f>
        <v/>
      </c>
      <c r="N9" s="37" t="inlineStr"/>
      <c r="O9" s="38" t="inlineStr"/>
      <c r="P9" s="38" t="inlineStr"/>
      <c r="Q9" s="39" t="inlineStr"/>
      <c r="R9" s="40" t="inlineStr"/>
      <c r="S9" s="2" t="n"/>
    </row>
    <row r="10" ht="20" customHeight="1">
      <c r="A10" s="14" t="n">
        <v>7</v>
      </c>
      <c r="B10" s="15" t="inlineStr"/>
      <c r="C10" s="16" t="inlineStr"/>
      <c r="D10" s="17" t="inlineStr"/>
      <c r="E10" s="18" t="inlineStr"/>
      <c r="F10" s="19" t="inlineStr"/>
      <c r="G10" s="20" t="inlineStr"/>
      <c r="H10" s="20" t="inlineStr"/>
      <c r="I10" s="21">
        <f>IF(AND(F10&lt;&gt;"",G10&lt;&gt;""),F10*G10,"")</f>
        <v/>
      </c>
      <c r="J10" s="21">
        <f>IF(AND(F10&lt;&gt;"",H10&lt;&gt;""),F10*H10,"")</f>
        <v/>
      </c>
      <c r="K10" s="22" t="inlineStr"/>
      <c r="L10" s="23">
        <f>IF(AND(I10&lt;&gt;"",J10&lt;&gt;""),J10-I10-IF(K10&lt;&gt;"",K10,0),"")</f>
        <v/>
      </c>
      <c r="M10" s="24">
        <f>IF(AND(L10&lt;&gt;"",I10&lt;&gt;"",I10&lt;&gt;0),L10/I10*100,"")</f>
        <v/>
      </c>
      <c r="N10" s="25" t="inlineStr"/>
      <c r="O10" s="26" t="inlineStr"/>
      <c r="P10" s="26" t="inlineStr"/>
      <c r="Q10" s="27" t="inlineStr"/>
      <c r="R10" s="28" t="inlineStr"/>
      <c r="S10" s="2" t="n"/>
    </row>
    <row r="11" ht="20" customHeight="1">
      <c r="A11" s="29" t="n">
        <v>8</v>
      </c>
      <c r="B11" s="30" t="inlineStr"/>
      <c r="C11" s="31" t="inlineStr"/>
      <c r="D11" s="32" t="inlineStr"/>
      <c r="E11" s="33" t="inlineStr"/>
      <c r="F11" s="34" t="inlineStr"/>
      <c r="G11" s="35" t="inlineStr"/>
      <c r="H11" s="35" t="inlineStr"/>
      <c r="I11" s="21">
        <f>IF(AND(F11&lt;&gt;"",G11&lt;&gt;""),F11*G11,"")</f>
        <v/>
      </c>
      <c r="J11" s="21">
        <f>IF(AND(F11&lt;&gt;"",H11&lt;&gt;""),F11*H11,"")</f>
        <v/>
      </c>
      <c r="K11" s="36" t="inlineStr"/>
      <c r="L11" s="23">
        <f>IF(AND(I11&lt;&gt;"",J11&lt;&gt;""),J11-I11-IF(K11&lt;&gt;"",K11,0),"")</f>
        <v/>
      </c>
      <c r="M11" s="24">
        <f>IF(AND(L11&lt;&gt;"",I11&lt;&gt;"",I11&lt;&gt;0),L11/I11*100,"")</f>
        <v/>
      </c>
      <c r="N11" s="37" t="inlineStr"/>
      <c r="O11" s="38" t="inlineStr"/>
      <c r="P11" s="38" t="inlineStr"/>
      <c r="Q11" s="39" t="inlineStr"/>
      <c r="R11" s="40" t="inlineStr"/>
      <c r="S11" s="2" t="n"/>
    </row>
    <row r="12" ht="20" customHeight="1">
      <c r="A12" s="14" t="n">
        <v>9</v>
      </c>
      <c r="B12" s="15" t="inlineStr"/>
      <c r="C12" s="16" t="inlineStr"/>
      <c r="D12" s="17" t="inlineStr"/>
      <c r="E12" s="18" t="inlineStr"/>
      <c r="F12" s="19" t="inlineStr"/>
      <c r="G12" s="20" t="inlineStr"/>
      <c r="H12" s="20" t="inlineStr"/>
      <c r="I12" s="21">
        <f>IF(AND(F12&lt;&gt;"",G12&lt;&gt;""),F12*G12,"")</f>
        <v/>
      </c>
      <c r="J12" s="21">
        <f>IF(AND(F12&lt;&gt;"",H12&lt;&gt;""),F12*H12,"")</f>
        <v/>
      </c>
      <c r="K12" s="22" t="inlineStr"/>
      <c r="L12" s="23">
        <f>IF(AND(I12&lt;&gt;"",J12&lt;&gt;""),J12-I12-IF(K12&lt;&gt;"",K12,0),"")</f>
        <v/>
      </c>
      <c r="M12" s="24">
        <f>IF(AND(L12&lt;&gt;"",I12&lt;&gt;"",I12&lt;&gt;0),L12/I12*100,"")</f>
        <v/>
      </c>
      <c r="N12" s="25" t="inlineStr"/>
      <c r="O12" s="26" t="inlineStr"/>
      <c r="P12" s="26" t="inlineStr"/>
      <c r="Q12" s="27" t="inlineStr"/>
      <c r="R12" s="28" t="inlineStr"/>
      <c r="S12" s="2" t="n"/>
    </row>
    <row r="13" ht="20" customHeight="1">
      <c r="A13" s="29" t="n">
        <v>10</v>
      </c>
      <c r="B13" s="30" t="inlineStr"/>
      <c r="C13" s="31" t="inlineStr"/>
      <c r="D13" s="32" t="inlineStr"/>
      <c r="E13" s="33" t="inlineStr"/>
      <c r="F13" s="34" t="inlineStr"/>
      <c r="G13" s="35" t="inlineStr"/>
      <c r="H13" s="35" t="inlineStr"/>
      <c r="I13" s="21">
        <f>IF(AND(F13&lt;&gt;"",G13&lt;&gt;""),F13*G13,"")</f>
        <v/>
      </c>
      <c r="J13" s="21">
        <f>IF(AND(F13&lt;&gt;"",H13&lt;&gt;""),F13*H13,"")</f>
        <v/>
      </c>
      <c r="K13" s="36" t="inlineStr"/>
      <c r="L13" s="23">
        <f>IF(AND(I13&lt;&gt;"",J13&lt;&gt;""),J13-I13-IF(K13&lt;&gt;"",K13,0),"")</f>
        <v/>
      </c>
      <c r="M13" s="24">
        <f>IF(AND(L13&lt;&gt;"",I13&lt;&gt;"",I13&lt;&gt;0),L13/I13*100,"")</f>
        <v/>
      </c>
      <c r="N13" s="37" t="inlineStr"/>
      <c r="O13" s="38" t="inlineStr"/>
      <c r="P13" s="38" t="inlineStr"/>
      <c r="Q13" s="39" t="inlineStr"/>
      <c r="R13" s="40" t="inlineStr"/>
      <c r="S13" s="2" t="n"/>
    </row>
    <row r="14" ht="20" customHeight="1">
      <c r="A14" s="14" t="n">
        <v>11</v>
      </c>
      <c r="B14" s="15" t="inlineStr"/>
      <c r="C14" s="16" t="inlineStr"/>
      <c r="D14" s="17" t="inlineStr"/>
      <c r="E14" s="18" t="inlineStr"/>
      <c r="F14" s="19" t="inlineStr"/>
      <c r="G14" s="20" t="inlineStr"/>
      <c r="H14" s="20" t="inlineStr"/>
      <c r="I14" s="21">
        <f>IF(AND(F14&lt;&gt;"",G14&lt;&gt;""),F14*G14,"")</f>
        <v/>
      </c>
      <c r="J14" s="21">
        <f>IF(AND(F14&lt;&gt;"",H14&lt;&gt;""),F14*H14,"")</f>
        <v/>
      </c>
      <c r="K14" s="22" t="inlineStr"/>
      <c r="L14" s="23">
        <f>IF(AND(I14&lt;&gt;"",J14&lt;&gt;""),J14-I14-IF(K14&lt;&gt;"",K14,0),"")</f>
        <v/>
      </c>
      <c r="M14" s="24">
        <f>IF(AND(L14&lt;&gt;"",I14&lt;&gt;"",I14&lt;&gt;0),L14/I14*100,"")</f>
        <v/>
      </c>
      <c r="N14" s="25" t="inlineStr"/>
      <c r="O14" s="26" t="inlineStr"/>
      <c r="P14" s="26" t="inlineStr"/>
      <c r="Q14" s="27" t="inlineStr"/>
      <c r="R14" s="28" t="inlineStr"/>
      <c r="S14" s="2" t="n"/>
    </row>
    <row r="15" ht="20" customHeight="1">
      <c r="A15" s="29" t="n">
        <v>12</v>
      </c>
      <c r="B15" s="30" t="inlineStr"/>
      <c r="C15" s="31" t="inlineStr"/>
      <c r="D15" s="32" t="inlineStr"/>
      <c r="E15" s="33" t="inlineStr"/>
      <c r="F15" s="34" t="inlineStr"/>
      <c r="G15" s="35" t="inlineStr"/>
      <c r="H15" s="35" t="inlineStr"/>
      <c r="I15" s="21">
        <f>IF(AND(F15&lt;&gt;"",G15&lt;&gt;""),F15*G15,"")</f>
        <v/>
      </c>
      <c r="J15" s="21">
        <f>IF(AND(F15&lt;&gt;"",H15&lt;&gt;""),F15*H15,"")</f>
        <v/>
      </c>
      <c r="K15" s="36" t="inlineStr"/>
      <c r="L15" s="23">
        <f>IF(AND(I15&lt;&gt;"",J15&lt;&gt;""),J15-I15-IF(K15&lt;&gt;"",K15,0),"")</f>
        <v/>
      </c>
      <c r="M15" s="24">
        <f>IF(AND(L15&lt;&gt;"",I15&lt;&gt;"",I15&lt;&gt;0),L15/I15*100,"")</f>
        <v/>
      </c>
      <c r="N15" s="37" t="inlineStr"/>
      <c r="O15" s="38" t="inlineStr"/>
      <c r="P15" s="38" t="inlineStr"/>
      <c r="Q15" s="39" t="inlineStr"/>
      <c r="R15" s="40" t="inlineStr"/>
      <c r="S15" s="2" t="n"/>
    </row>
    <row r="16" ht="20" customHeight="1">
      <c r="A16" s="14" t="n">
        <v>13</v>
      </c>
      <c r="B16" s="15" t="inlineStr"/>
      <c r="C16" s="16" t="inlineStr"/>
      <c r="D16" s="17" t="inlineStr"/>
      <c r="E16" s="18" t="inlineStr"/>
      <c r="F16" s="19" t="inlineStr"/>
      <c r="G16" s="20" t="inlineStr"/>
      <c r="H16" s="20" t="inlineStr"/>
      <c r="I16" s="21">
        <f>IF(AND(F16&lt;&gt;"",G16&lt;&gt;""),F16*G16,"")</f>
        <v/>
      </c>
      <c r="J16" s="21">
        <f>IF(AND(F16&lt;&gt;"",H16&lt;&gt;""),F16*H16,"")</f>
        <v/>
      </c>
      <c r="K16" s="22" t="inlineStr"/>
      <c r="L16" s="23">
        <f>IF(AND(I16&lt;&gt;"",J16&lt;&gt;""),J16-I16-IF(K16&lt;&gt;"",K16,0),"")</f>
        <v/>
      </c>
      <c r="M16" s="24">
        <f>IF(AND(L16&lt;&gt;"",I16&lt;&gt;"",I16&lt;&gt;0),L16/I16*100,"")</f>
        <v/>
      </c>
      <c r="N16" s="25" t="inlineStr"/>
      <c r="O16" s="26" t="inlineStr"/>
      <c r="P16" s="26" t="inlineStr"/>
      <c r="Q16" s="27" t="inlineStr"/>
      <c r="R16" s="28" t="inlineStr"/>
      <c r="S16" s="2" t="n"/>
    </row>
    <row r="17" ht="20" customHeight="1">
      <c r="A17" s="29" t="n">
        <v>14</v>
      </c>
      <c r="B17" s="30" t="inlineStr"/>
      <c r="C17" s="31" t="inlineStr"/>
      <c r="D17" s="32" t="inlineStr"/>
      <c r="E17" s="33" t="inlineStr"/>
      <c r="F17" s="34" t="inlineStr"/>
      <c r="G17" s="35" t="inlineStr"/>
      <c r="H17" s="35" t="inlineStr"/>
      <c r="I17" s="21">
        <f>IF(AND(F17&lt;&gt;"",G17&lt;&gt;""),F17*G17,"")</f>
        <v/>
      </c>
      <c r="J17" s="21">
        <f>IF(AND(F17&lt;&gt;"",H17&lt;&gt;""),F17*H17,"")</f>
        <v/>
      </c>
      <c r="K17" s="36" t="inlineStr"/>
      <c r="L17" s="23">
        <f>IF(AND(I17&lt;&gt;"",J17&lt;&gt;""),J17-I17-IF(K17&lt;&gt;"",K17,0),"")</f>
        <v/>
      </c>
      <c r="M17" s="24">
        <f>IF(AND(L17&lt;&gt;"",I17&lt;&gt;"",I17&lt;&gt;0),L17/I17*100,"")</f>
        <v/>
      </c>
      <c r="N17" s="37" t="inlineStr"/>
      <c r="O17" s="38" t="inlineStr"/>
      <c r="P17" s="38" t="inlineStr"/>
      <c r="Q17" s="39" t="inlineStr"/>
      <c r="R17" s="40" t="inlineStr"/>
      <c r="S17" s="2" t="n"/>
    </row>
    <row r="18" ht="20" customHeight="1">
      <c r="A18" s="14" t="n">
        <v>15</v>
      </c>
      <c r="B18" s="15" t="inlineStr"/>
      <c r="C18" s="16" t="inlineStr"/>
      <c r="D18" s="17" t="inlineStr"/>
      <c r="E18" s="18" t="inlineStr"/>
      <c r="F18" s="19" t="inlineStr"/>
      <c r="G18" s="20" t="inlineStr"/>
      <c r="H18" s="20" t="inlineStr"/>
      <c r="I18" s="21">
        <f>IF(AND(F18&lt;&gt;"",G18&lt;&gt;""),F18*G18,"")</f>
        <v/>
      </c>
      <c r="J18" s="21">
        <f>IF(AND(F18&lt;&gt;"",H18&lt;&gt;""),F18*H18,"")</f>
        <v/>
      </c>
      <c r="K18" s="22" t="inlineStr"/>
      <c r="L18" s="23">
        <f>IF(AND(I18&lt;&gt;"",J18&lt;&gt;""),J18-I18-IF(K18&lt;&gt;"",K18,0),"")</f>
        <v/>
      </c>
      <c r="M18" s="24">
        <f>IF(AND(L18&lt;&gt;"",I18&lt;&gt;"",I18&lt;&gt;0),L18/I18*100,"")</f>
        <v/>
      </c>
      <c r="N18" s="25" t="inlineStr"/>
      <c r="O18" s="26" t="inlineStr"/>
      <c r="P18" s="26" t="inlineStr"/>
      <c r="Q18" s="27" t="inlineStr"/>
      <c r="R18" s="28" t="inlineStr"/>
      <c r="S18" s="2" t="n"/>
    </row>
    <row r="19" ht="20" customHeight="1">
      <c r="A19" s="29" t="n">
        <v>16</v>
      </c>
      <c r="B19" s="30" t="inlineStr"/>
      <c r="C19" s="31" t="inlineStr"/>
      <c r="D19" s="32" t="inlineStr"/>
      <c r="E19" s="33" t="inlineStr"/>
      <c r="F19" s="34" t="inlineStr"/>
      <c r="G19" s="35" t="inlineStr"/>
      <c r="H19" s="35" t="inlineStr"/>
      <c r="I19" s="21">
        <f>IF(AND(F19&lt;&gt;"",G19&lt;&gt;""),F19*G19,"")</f>
        <v/>
      </c>
      <c r="J19" s="21">
        <f>IF(AND(F19&lt;&gt;"",H19&lt;&gt;""),F19*H19,"")</f>
        <v/>
      </c>
      <c r="K19" s="36" t="inlineStr"/>
      <c r="L19" s="23">
        <f>IF(AND(I19&lt;&gt;"",J19&lt;&gt;""),J19-I19-IF(K19&lt;&gt;"",K19,0),"")</f>
        <v/>
      </c>
      <c r="M19" s="24">
        <f>IF(AND(L19&lt;&gt;"",I19&lt;&gt;"",I19&lt;&gt;0),L19/I19*100,"")</f>
        <v/>
      </c>
      <c r="N19" s="37" t="inlineStr"/>
      <c r="O19" s="38" t="inlineStr"/>
      <c r="P19" s="38" t="inlineStr"/>
      <c r="Q19" s="39" t="inlineStr"/>
      <c r="R19" s="40" t="inlineStr"/>
      <c r="S19" s="2" t="n"/>
    </row>
    <row r="20" ht="20" customHeight="1">
      <c r="A20" s="14" t="n">
        <v>17</v>
      </c>
      <c r="B20" s="15" t="inlineStr"/>
      <c r="C20" s="16" t="inlineStr"/>
      <c r="D20" s="17" t="inlineStr"/>
      <c r="E20" s="18" t="inlineStr"/>
      <c r="F20" s="19" t="inlineStr"/>
      <c r="G20" s="20" t="inlineStr"/>
      <c r="H20" s="20" t="inlineStr"/>
      <c r="I20" s="21">
        <f>IF(AND(F20&lt;&gt;"",G20&lt;&gt;""),F20*G20,"")</f>
        <v/>
      </c>
      <c r="J20" s="21">
        <f>IF(AND(F20&lt;&gt;"",H20&lt;&gt;""),F20*H20,"")</f>
        <v/>
      </c>
      <c r="K20" s="22" t="inlineStr"/>
      <c r="L20" s="23">
        <f>IF(AND(I20&lt;&gt;"",J20&lt;&gt;""),J20-I20-IF(K20&lt;&gt;"",K20,0),"")</f>
        <v/>
      </c>
      <c r="M20" s="24">
        <f>IF(AND(L20&lt;&gt;"",I20&lt;&gt;"",I20&lt;&gt;0),L20/I20*100,"")</f>
        <v/>
      </c>
      <c r="N20" s="25" t="inlineStr"/>
      <c r="O20" s="26" t="inlineStr"/>
      <c r="P20" s="26" t="inlineStr"/>
      <c r="Q20" s="27" t="inlineStr"/>
      <c r="R20" s="28" t="inlineStr"/>
      <c r="S20" s="2" t="n"/>
    </row>
    <row r="21" ht="20" customHeight="1">
      <c r="A21" s="29" t="n">
        <v>18</v>
      </c>
      <c r="B21" s="30" t="inlineStr"/>
      <c r="C21" s="31" t="inlineStr"/>
      <c r="D21" s="32" t="inlineStr"/>
      <c r="E21" s="33" t="inlineStr"/>
      <c r="F21" s="34" t="inlineStr"/>
      <c r="G21" s="35" t="inlineStr"/>
      <c r="H21" s="35" t="inlineStr"/>
      <c r="I21" s="21">
        <f>IF(AND(F21&lt;&gt;"",G21&lt;&gt;""),F21*G21,"")</f>
        <v/>
      </c>
      <c r="J21" s="21">
        <f>IF(AND(F21&lt;&gt;"",H21&lt;&gt;""),F21*H21,"")</f>
        <v/>
      </c>
      <c r="K21" s="36" t="inlineStr"/>
      <c r="L21" s="23">
        <f>IF(AND(I21&lt;&gt;"",J21&lt;&gt;""),J21-I21-IF(K21&lt;&gt;"",K21,0),"")</f>
        <v/>
      </c>
      <c r="M21" s="24">
        <f>IF(AND(L21&lt;&gt;"",I21&lt;&gt;"",I21&lt;&gt;0),L21/I21*100,"")</f>
        <v/>
      </c>
      <c r="N21" s="37" t="inlineStr"/>
      <c r="O21" s="38" t="inlineStr"/>
      <c r="P21" s="38" t="inlineStr"/>
      <c r="Q21" s="39" t="inlineStr"/>
      <c r="R21" s="40" t="inlineStr"/>
      <c r="S21" s="2" t="n"/>
    </row>
    <row r="22" ht="20" customHeight="1">
      <c r="A22" s="14" t="n">
        <v>19</v>
      </c>
      <c r="B22" s="15" t="inlineStr"/>
      <c r="C22" s="16" t="inlineStr"/>
      <c r="D22" s="17" t="inlineStr"/>
      <c r="E22" s="18" t="inlineStr"/>
      <c r="F22" s="19" t="inlineStr"/>
      <c r="G22" s="20" t="inlineStr"/>
      <c r="H22" s="20" t="inlineStr"/>
      <c r="I22" s="21">
        <f>IF(AND(F22&lt;&gt;"",G22&lt;&gt;""),F22*G22,"")</f>
        <v/>
      </c>
      <c r="J22" s="21">
        <f>IF(AND(F22&lt;&gt;"",H22&lt;&gt;""),F22*H22,"")</f>
        <v/>
      </c>
      <c r="K22" s="22" t="inlineStr"/>
      <c r="L22" s="23">
        <f>IF(AND(I22&lt;&gt;"",J22&lt;&gt;""),J22-I22-IF(K22&lt;&gt;"",K22,0),"")</f>
        <v/>
      </c>
      <c r="M22" s="24">
        <f>IF(AND(L22&lt;&gt;"",I22&lt;&gt;"",I22&lt;&gt;0),L22/I22*100,"")</f>
        <v/>
      </c>
      <c r="N22" s="25" t="inlineStr"/>
      <c r="O22" s="26" t="inlineStr"/>
      <c r="P22" s="26" t="inlineStr"/>
      <c r="Q22" s="27" t="inlineStr"/>
      <c r="R22" s="28" t="inlineStr"/>
      <c r="S22" s="2" t="n"/>
    </row>
    <row r="23" ht="20" customHeight="1">
      <c r="A23" s="29" t="n">
        <v>20</v>
      </c>
      <c r="B23" s="30" t="inlineStr"/>
      <c r="C23" s="31" t="inlineStr"/>
      <c r="D23" s="32" t="inlineStr"/>
      <c r="E23" s="33" t="inlineStr"/>
      <c r="F23" s="34" t="inlineStr"/>
      <c r="G23" s="35" t="inlineStr"/>
      <c r="H23" s="35" t="inlineStr"/>
      <c r="I23" s="21">
        <f>IF(AND(F23&lt;&gt;"",G23&lt;&gt;""),F23*G23,"")</f>
        <v/>
      </c>
      <c r="J23" s="21">
        <f>IF(AND(F23&lt;&gt;"",H23&lt;&gt;""),F23*H23,"")</f>
        <v/>
      </c>
      <c r="K23" s="36" t="inlineStr"/>
      <c r="L23" s="23">
        <f>IF(AND(I23&lt;&gt;"",J23&lt;&gt;""),J23-I23-IF(K23&lt;&gt;"",K23,0),"")</f>
        <v/>
      </c>
      <c r="M23" s="24">
        <f>IF(AND(L23&lt;&gt;"",I23&lt;&gt;"",I23&lt;&gt;0),L23/I23*100,"")</f>
        <v/>
      </c>
      <c r="N23" s="37" t="inlineStr"/>
      <c r="O23" s="38" t="inlineStr"/>
      <c r="P23" s="38" t="inlineStr"/>
      <c r="Q23" s="39" t="inlineStr"/>
      <c r="R23" s="40" t="inlineStr"/>
      <c r="S23" s="2" t="n"/>
    </row>
    <row r="24" ht="20" customHeight="1">
      <c r="A24" s="14" t="n">
        <v>21</v>
      </c>
      <c r="B24" s="15" t="inlineStr"/>
      <c r="C24" s="16" t="inlineStr"/>
      <c r="D24" s="17" t="inlineStr"/>
      <c r="E24" s="18" t="inlineStr"/>
      <c r="F24" s="19" t="inlineStr"/>
      <c r="G24" s="20" t="inlineStr"/>
      <c r="H24" s="20" t="inlineStr"/>
      <c r="I24" s="21">
        <f>IF(AND(F24&lt;&gt;"",G24&lt;&gt;""),F24*G24,"")</f>
        <v/>
      </c>
      <c r="J24" s="21">
        <f>IF(AND(F24&lt;&gt;"",H24&lt;&gt;""),F24*H24,"")</f>
        <v/>
      </c>
      <c r="K24" s="22" t="inlineStr"/>
      <c r="L24" s="23">
        <f>IF(AND(I24&lt;&gt;"",J24&lt;&gt;""),J24-I24-IF(K24&lt;&gt;"",K24,0),"")</f>
        <v/>
      </c>
      <c r="M24" s="24">
        <f>IF(AND(L24&lt;&gt;"",I24&lt;&gt;"",I24&lt;&gt;0),L24/I24*100,"")</f>
        <v/>
      </c>
      <c r="N24" s="25" t="inlineStr"/>
      <c r="O24" s="26" t="inlineStr"/>
      <c r="P24" s="26" t="inlineStr"/>
      <c r="Q24" s="27" t="inlineStr"/>
      <c r="R24" s="28" t="inlineStr"/>
      <c r="S24" s="2" t="n"/>
    </row>
    <row r="25" ht="20" customHeight="1">
      <c r="A25" s="29" t="n">
        <v>22</v>
      </c>
      <c r="B25" s="30" t="inlineStr"/>
      <c r="C25" s="31" t="inlineStr"/>
      <c r="D25" s="32" t="inlineStr"/>
      <c r="E25" s="33" t="inlineStr"/>
      <c r="F25" s="34" t="inlineStr"/>
      <c r="G25" s="35" t="inlineStr"/>
      <c r="H25" s="35" t="inlineStr"/>
      <c r="I25" s="21">
        <f>IF(AND(F25&lt;&gt;"",G25&lt;&gt;""),F25*G25,"")</f>
        <v/>
      </c>
      <c r="J25" s="21">
        <f>IF(AND(F25&lt;&gt;"",H25&lt;&gt;""),F25*H25,"")</f>
        <v/>
      </c>
      <c r="K25" s="36" t="inlineStr"/>
      <c r="L25" s="23">
        <f>IF(AND(I25&lt;&gt;"",J25&lt;&gt;""),J25-I25-IF(K25&lt;&gt;"",K25,0),"")</f>
        <v/>
      </c>
      <c r="M25" s="24">
        <f>IF(AND(L25&lt;&gt;"",I25&lt;&gt;"",I25&lt;&gt;0),L25/I25*100,"")</f>
        <v/>
      </c>
      <c r="N25" s="37" t="inlineStr"/>
      <c r="O25" s="38" t="inlineStr"/>
      <c r="P25" s="38" t="inlineStr"/>
      <c r="Q25" s="39" t="inlineStr"/>
      <c r="R25" s="40" t="inlineStr"/>
      <c r="S25" s="2" t="n"/>
    </row>
    <row r="26" ht="20" customHeight="1">
      <c r="A26" s="14" t="n">
        <v>23</v>
      </c>
      <c r="B26" s="15" t="inlineStr"/>
      <c r="C26" s="16" t="inlineStr"/>
      <c r="D26" s="17" t="inlineStr"/>
      <c r="E26" s="18" t="inlineStr"/>
      <c r="F26" s="19" t="inlineStr"/>
      <c r="G26" s="20" t="inlineStr"/>
      <c r="H26" s="20" t="inlineStr"/>
      <c r="I26" s="21">
        <f>IF(AND(F26&lt;&gt;"",G26&lt;&gt;""),F26*G26,"")</f>
        <v/>
      </c>
      <c r="J26" s="21">
        <f>IF(AND(F26&lt;&gt;"",H26&lt;&gt;""),F26*H26,"")</f>
        <v/>
      </c>
      <c r="K26" s="22" t="inlineStr"/>
      <c r="L26" s="23">
        <f>IF(AND(I26&lt;&gt;"",J26&lt;&gt;""),J26-I26-IF(K26&lt;&gt;"",K26,0),"")</f>
        <v/>
      </c>
      <c r="M26" s="24">
        <f>IF(AND(L26&lt;&gt;"",I26&lt;&gt;"",I26&lt;&gt;0),L26/I26*100,"")</f>
        <v/>
      </c>
      <c r="N26" s="25" t="inlineStr"/>
      <c r="O26" s="26" t="inlineStr"/>
      <c r="P26" s="26" t="inlineStr"/>
      <c r="Q26" s="27" t="inlineStr"/>
      <c r="R26" s="28" t="inlineStr"/>
      <c r="S26" s="2" t="n"/>
    </row>
    <row r="27" ht="20" customHeight="1">
      <c r="A27" s="29" t="n">
        <v>24</v>
      </c>
      <c r="B27" s="30" t="inlineStr"/>
      <c r="C27" s="31" t="inlineStr"/>
      <c r="D27" s="32" t="inlineStr"/>
      <c r="E27" s="33" t="inlineStr"/>
      <c r="F27" s="34" t="inlineStr"/>
      <c r="G27" s="35" t="inlineStr"/>
      <c r="H27" s="35" t="inlineStr"/>
      <c r="I27" s="21">
        <f>IF(AND(F27&lt;&gt;"",G27&lt;&gt;""),F27*G27,"")</f>
        <v/>
      </c>
      <c r="J27" s="21">
        <f>IF(AND(F27&lt;&gt;"",H27&lt;&gt;""),F27*H27,"")</f>
        <v/>
      </c>
      <c r="K27" s="36" t="inlineStr"/>
      <c r="L27" s="23">
        <f>IF(AND(I27&lt;&gt;"",J27&lt;&gt;""),J27-I27-IF(K27&lt;&gt;"",K27,0),"")</f>
        <v/>
      </c>
      <c r="M27" s="24">
        <f>IF(AND(L27&lt;&gt;"",I27&lt;&gt;"",I27&lt;&gt;0),L27/I27*100,"")</f>
        <v/>
      </c>
      <c r="N27" s="37" t="inlineStr"/>
      <c r="O27" s="38" t="inlineStr"/>
      <c r="P27" s="38" t="inlineStr"/>
      <c r="Q27" s="39" t="inlineStr"/>
      <c r="R27" s="40" t="inlineStr"/>
      <c r="S27" s="2" t="n"/>
    </row>
    <row r="28" ht="20" customHeight="1">
      <c r="A28" s="14" t="n">
        <v>25</v>
      </c>
      <c r="B28" s="15" t="inlineStr"/>
      <c r="C28" s="16" t="inlineStr"/>
      <c r="D28" s="17" t="inlineStr"/>
      <c r="E28" s="18" t="inlineStr"/>
      <c r="F28" s="19" t="inlineStr"/>
      <c r="G28" s="20" t="inlineStr"/>
      <c r="H28" s="20" t="inlineStr"/>
      <c r="I28" s="21">
        <f>IF(AND(F28&lt;&gt;"",G28&lt;&gt;""),F28*G28,"")</f>
        <v/>
      </c>
      <c r="J28" s="21">
        <f>IF(AND(F28&lt;&gt;"",H28&lt;&gt;""),F28*H28,"")</f>
        <v/>
      </c>
      <c r="K28" s="22" t="inlineStr"/>
      <c r="L28" s="23">
        <f>IF(AND(I28&lt;&gt;"",J28&lt;&gt;""),J28-I28-IF(K28&lt;&gt;"",K28,0),"")</f>
        <v/>
      </c>
      <c r="M28" s="24">
        <f>IF(AND(L28&lt;&gt;"",I28&lt;&gt;"",I28&lt;&gt;0),L28/I28*100,"")</f>
        <v/>
      </c>
      <c r="N28" s="25" t="inlineStr"/>
      <c r="O28" s="26" t="inlineStr"/>
      <c r="P28" s="26" t="inlineStr"/>
      <c r="Q28" s="27" t="inlineStr"/>
      <c r="R28" s="28" t="inlineStr"/>
      <c r="S28" s="2" t="n"/>
    </row>
    <row r="29" ht="20" customHeight="1">
      <c r="A29" s="29" t="n">
        <v>26</v>
      </c>
      <c r="B29" s="30" t="inlineStr"/>
      <c r="C29" s="31" t="inlineStr"/>
      <c r="D29" s="32" t="inlineStr"/>
      <c r="E29" s="33" t="inlineStr"/>
      <c r="F29" s="34" t="inlineStr"/>
      <c r="G29" s="35" t="inlineStr"/>
      <c r="H29" s="35" t="inlineStr"/>
      <c r="I29" s="21">
        <f>IF(AND(F29&lt;&gt;"",G29&lt;&gt;""),F29*G29,"")</f>
        <v/>
      </c>
      <c r="J29" s="21">
        <f>IF(AND(F29&lt;&gt;"",H29&lt;&gt;""),F29*H29,"")</f>
        <v/>
      </c>
      <c r="K29" s="36" t="inlineStr"/>
      <c r="L29" s="23">
        <f>IF(AND(I29&lt;&gt;"",J29&lt;&gt;""),J29-I29-IF(K29&lt;&gt;"",K29,0),"")</f>
        <v/>
      </c>
      <c r="M29" s="24">
        <f>IF(AND(L29&lt;&gt;"",I29&lt;&gt;"",I29&lt;&gt;0),L29/I29*100,"")</f>
        <v/>
      </c>
      <c r="N29" s="37" t="inlineStr"/>
      <c r="O29" s="38" t="inlineStr"/>
      <c r="P29" s="38" t="inlineStr"/>
      <c r="Q29" s="39" t="inlineStr"/>
      <c r="R29" s="40" t="inlineStr"/>
      <c r="S29" s="2" t="n"/>
    </row>
    <row r="30" ht="20" customHeight="1">
      <c r="A30" s="14" t="n">
        <v>27</v>
      </c>
      <c r="B30" s="15" t="inlineStr"/>
      <c r="C30" s="16" t="inlineStr"/>
      <c r="D30" s="17" t="inlineStr"/>
      <c r="E30" s="18" t="inlineStr"/>
      <c r="F30" s="19" t="inlineStr"/>
      <c r="G30" s="20" t="inlineStr"/>
      <c r="H30" s="20" t="inlineStr"/>
      <c r="I30" s="21">
        <f>IF(AND(F30&lt;&gt;"",G30&lt;&gt;""),F30*G30,"")</f>
        <v/>
      </c>
      <c r="J30" s="21">
        <f>IF(AND(F30&lt;&gt;"",H30&lt;&gt;""),F30*H30,"")</f>
        <v/>
      </c>
      <c r="K30" s="22" t="inlineStr"/>
      <c r="L30" s="23">
        <f>IF(AND(I30&lt;&gt;"",J30&lt;&gt;""),J30-I30-IF(K30&lt;&gt;"",K30,0),"")</f>
        <v/>
      </c>
      <c r="M30" s="24">
        <f>IF(AND(L30&lt;&gt;"",I30&lt;&gt;"",I30&lt;&gt;0),L30/I30*100,"")</f>
        <v/>
      </c>
      <c r="N30" s="25" t="inlineStr"/>
      <c r="O30" s="26" t="inlineStr"/>
      <c r="P30" s="26" t="inlineStr"/>
      <c r="Q30" s="27" t="inlineStr"/>
      <c r="R30" s="28" t="inlineStr"/>
      <c r="S30" s="2" t="n"/>
    </row>
    <row r="31" ht="20" customHeight="1">
      <c r="A31" s="29" t="n">
        <v>28</v>
      </c>
      <c r="B31" s="30" t="inlineStr"/>
      <c r="C31" s="31" t="inlineStr"/>
      <c r="D31" s="32" t="inlineStr"/>
      <c r="E31" s="33" t="inlineStr"/>
      <c r="F31" s="34" t="inlineStr"/>
      <c r="G31" s="35" t="inlineStr"/>
      <c r="H31" s="35" t="inlineStr"/>
      <c r="I31" s="21">
        <f>IF(AND(F31&lt;&gt;"",G31&lt;&gt;""),F31*G31,"")</f>
        <v/>
      </c>
      <c r="J31" s="21">
        <f>IF(AND(F31&lt;&gt;"",H31&lt;&gt;""),F31*H31,"")</f>
        <v/>
      </c>
      <c r="K31" s="36" t="inlineStr"/>
      <c r="L31" s="23">
        <f>IF(AND(I31&lt;&gt;"",J31&lt;&gt;""),J31-I31-IF(K31&lt;&gt;"",K31,0),"")</f>
        <v/>
      </c>
      <c r="M31" s="24">
        <f>IF(AND(L31&lt;&gt;"",I31&lt;&gt;"",I31&lt;&gt;0),L31/I31*100,"")</f>
        <v/>
      </c>
      <c r="N31" s="37" t="inlineStr"/>
      <c r="O31" s="38" t="inlineStr"/>
      <c r="P31" s="38" t="inlineStr"/>
      <c r="Q31" s="39" t="inlineStr"/>
      <c r="R31" s="40" t="inlineStr"/>
      <c r="S31" s="2" t="n"/>
    </row>
    <row r="32" ht="20" customHeight="1">
      <c r="A32" s="14" t="n">
        <v>29</v>
      </c>
      <c r="B32" s="15" t="inlineStr"/>
      <c r="C32" s="16" t="inlineStr"/>
      <c r="D32" s="17" t="inlineStr"/>
      <c r="E32" s="18" t="inlineStr"/>
      <c r="F32" s="19" t="inlineStr"/>
      <c r="G32" s="20" t="inlineStr"/>
      <c r="H32" s="20" t="inlineStr"/>
      <c r="I32" s="21">
        <f>IF(AND(F32&lt;&gt;"",G32&lt;&gt;""),F32*G32,"")</f>
        <v/>
      </c>
      <c r="J32" s="21">
        <f>IF(AND(F32&lt;&gt;"",H32&lt;&gt;""),F32*H32,"")</f>
        <v/>
      </c>
      <c r="K32" s="22" t="inlineStr"/>
      <c r="L32" s="23">
        <f>IF(AND(I32&lt;&gt;"",J32&lt;&gt;""),J32-I32-IF(K32&lt;&gt;"",K32,0),"")</f>
        <v/>
      </c>
      <c r="M32" s="24">
        <f>IF(AND(L32&lt;&gt;"",I32&lt;&gt;"",I32&lt;&gt;0),L32/I32*100,"")</f>
        <v/>
      </c>
      <c r="N32" s="25" t="inlineStr"/>
      <c r="O32" s="26" t="inlineStr"/>
      <c r="P32" s="26" t="inlineStr"/>
      <c r="Q32" s="27" t="inlineStr"/>
      <c r="R32" s="28" t="inlineStr"/>
      <c r="S32" s="2" t="n"/>
    </row>
    <row r="33" ht="20" customHeight="1">
      <c r="A33" s="29" t="n">
        <v>30</v>
      </c>
      <c r="B33" s="30" t="inlineStr"/>
      <c r="C33" s="31" t="inlineStr"/>
      <c r="D33" s="32" t="inlineStr"/>
      <c r="E33" s="33" t="inlineStr"/>
      <c r="F33" s="34" t="inlineStr"/>
      <c r="G33" s="35" t="inlineStr"/>
      <c r="H33" s="35" t="inlineStr"/>
      <c r="I33" s="21">
        <f>IF(AND(F33&lt;&gt;"",G33&lt;&gt;""),F33*G33,"")</f>
        <v/>
      </c>
      <c r="J33" s="21">
        <f>IF(AND(F33&lt;&gt;"",H33&lt;&gt;""),F33*H33,"")</f>
        <v/>
      </c>
      <c r="K33" s="36" t="inlineStr"/>
      <c r="L33" s="23">
        <f>IF(AND(I33&lt;&gt;"",J33&lt;&gt;""),J33-I33-IF(K33&lt;&gt;"",K33,0),"")</f>
        <v/>
      </c>
      <c r="M33" s="24">
        <f>IF(AND(L33&lt;&gt;"",I33&lt;&gt;"",I33&lt;&gt;0),L33/I33*100,"")</f>
        <v/>
      </c>
      <c r="N33" s="37" t="inlineStr"/>
      <c r="O33" s="38" t="inlineStr"/>
      <c r="P33" s="38" t="inlineStr"/>
      <c r="Q33" s="39" t="inlineStr"/>
      <c r="R33" s="40" t="inlineStr"/>
      <c r="S33" s="2" t="n"/>
    </row>
    <row r="34" ht="20" customHeight="1">
      <c r="A34" s="14" t="n">
        <v>31</v>
      </c>
      <c r="B34" s="15" t="inlineStr"/>
      <c r="C34" s="16" t="inlineStr"/>
      <c r="D34" s="17" t="inlineStr"/>
      <c r="E34" s="18" t="inlineStr"/>
      <c r="F34" s="19" t="inlineStr"/>
      <c r="G34" s="20" t="inlineStr"/>
      <c r="H34" s="20" t="inlineStr"/>
      <c r="I34" s="21">
        <f>IF(AND(F34&lt;&gt;"",G34&lt;&gt;""),F34*G34,"")</f>
        <v/>
      </c>
      <c r="J34" s="21">
        <f>IF(AND(F34&lt;&gt;"",H34&lt;&gt;""),F34*H34,"")</f>
        <v/>
      </c>
      <c r="K34" s="22" t="inlineStr"/>
      <c r="L34" s="23">
        <f>IF(AND(I34&lt;&gt;"",J34&lt;&gt;""),J34-I34-IF(K34&lt;&gt;"",K34,0),"")</f>
        <v/>
      </c>
      <c r="M34" s="24">
        <f>IF(AND(L34&lt;&gt;"",I34&lt;&gt;"",I34&lt;&gt;0),L34/I34*100,"")</f>
        <v/>
      </c>
      <c r="N34" s="25" t="inlineStr"/>
      <c r="O34" s="26" t="inlineStr"/>
      <c r="P34" s="26" t="inlineStr"/>
      <c r="Q34" s="27" t="inlineStr"/>
      <c r="R34" s="28" t="inlineStr"/>
      <c r="S34" s="2" t="n"/>
    </row>
    <row r="35" ht="20" customHeight="1">
      <c r="A35" s="29" t="n">
        <v>32</v>
      </c>
      <c r="B35" s="30" t="inlineStr"/>
      <c r="C35" s="31" t="inlineStr"/>
      <c r="D35" s="32" t="inlineStr"/>
      <c r="E35" s="33" t="inlineStr"/>
      <c r="F35" s="34" t="inlineStr"/>
      <c r="G35" s="35" t="inlineStr"/>
      <c r="H35" s="35" t="inlineStr"/>
      <c r="I35" s="21">
        <f>IF(AND(F35&lt;&gt;"",G35&lt;&gt;""),F35*G35,"")</f>
        <v/>
      </c>
      <c r="J35" s="21">
        <f>IF(AND(F35&lt;&gt;"",H35&lt;&gt;""),F35*H35,"")</f>
        <v/>
      </c>
      <c r="K35" s="36" t="inlineStr"/>
      <c r="L35" s="23">
        <f>IF(AND(I35&lt;&gt;"",J35&lt;&gt;""),J35-I35-IF(K35&lt;&gt;"",K35,0),"")</f>
        <v/>
      </c>
      <c r="M35" s="24">
        <f>IF(AND(L35&lt;&gt;"",I35&lt;&gt;"",I35&lt;&gt;0),L35/I35*100,"")</f>
        <v/>
      </c>
      <c r="N35" s="37" t="inlineStr"/>
      <c r="O35" s="38" t="inlineStr"/>
      <c r="P35" s="38" t="inlineStr"/>
      <c r="Q35" s="39" t="inlineStr"/>
      <c r="R35" s="40" t="inlineStr"/>
      <c r="S35" s="2" t="n"/>
    </row>
    <row r="36" ht="20" customHeight="1">
      <c r="A36" s="14" t="n">
        <v>33</v>
      </c>
      <c r="B36" s="15" t="inlineStr"/>
      <c r="C36" s="16" t="inlineStr"/>
      <c r="D36" s="17" t="inlineStr"/>
      <c r="E36" s="18" t="inlineStr"/>
      <c r="F36" s="19" t="inlineStr"/>
      <c r="G36" s="20" t="inlineStr"/>
      <c r="H36" s="20" t="inlineStr"/>
      <c r="I36" s="21">
        <f>IF(AND(F36&lt;&gt;"",G36&lt;&gt;""),F36*G36,"")</f>
        <v/>
      </c>
      <c r="J36" s="21">
        <f>IF(AND(F36&lt;&gt;"",H36&lt;&gt;""),F36*H36,"")</f>
        <v/>
      </c>
      <c r="K36" s="22" t="inlineStr"/>
      <c r="L36" s="23">
        <f>IF(AND(I36&lt;&gt;"",J36&lt;&gt;""),J36-I36-IF(K36&lt;&gt;"",K36,0),"")</f>
        <v/>
      </c>
      <c r="M36" s="24">
        <f>IF(AND(L36&lt;&gt;"",I36&lt;&gt;"",I36&lt;&gt;0),L36/I36*100,"")</f>
        <v/>
      </c>
      <c r="N36" s="25" t="inlineStr"/>
      <c r="O36" s="26" t="inlineStr"/>
      <c r="P36" s="26" t="inlineStr"/>
      <c r="Q36" s="27" t="inlineStr"/>
      <c r="R36" s="28" t="inlineStr"/>
      <c r="S36" s="2" t="n"/>
    </row>
    <row r="37" ht="20" customHeight="1">
      <c r="A37" s="29" t="n">
        <v>34</v>
      </c>
      <c r="B37" s="30" t="inlineStr"/>
      <c r="C37" s="31" t="inlineStr"/>
      <c r="D37" s="32" t="inlineStr"/>
      <c r="E37" s="33" t="inlineStr"/>
      <c r="F37" s="34" t="inlineStr"/>
      <c r="G37" s="35" t="inlineStr"/>
      <c r="H37" s="35" t="inlineStr"/>
      <c r="I37" s="21">
        <f>IF(AND(F37&lt;&gt;"",G37&lt;&gt;""),F37*G37,"")</f>
        <v/>
      </c>
      <c r="J37" s="21">
        <f>IF(AND(F37&lt;&gt;"",H37&lt;&gt;""),F37*H37,"")</f>
        <v/>
      </c>
      <c r="K37" s="36" t="inlineStr"/>
      <c r="L37" s="23">
        <f>IF(AND(I37&lt;&gt;"",J37&lt;&gt;""),J37-I37-IF(K37&lt;&gt;"",K37,0),"")</f>
        <v/>
      </c>
      <c r="M37" s="24">
        <f>IF(AND(L37&lt;&gt;"",I37&lt;&gt;"",I37&lt;&gt;0),L37/I37*100,"")</f>
        <v/>
      </c>
      <c r="N37" s="37" t="inlineStr"/>
      <c r="O37" s="38" t="inlineStr"/>
      <c r="P37" s="38" t="inlineStr"/>
      <c r="Q37" s="39" t="inlineStr"/>
      <c r="R37" s="40" t="inlineStr"/>
      <c r="S37" s="2" t="n"/>
    </row>
    <row r="38" ht="20" customHeight="1">
      <c r="A38" s="14" t="n">
        <v>35</v>
      </c>
      <c r="B38" s="15" t="inlineStr"/>
      <c r="C38" s="16" t="inlineStr"/>
      <c r="D38" s="17" t="inlineStr"/>
      <c r="E38" s="18" t="inlineStr"/>
      <c r="F38" s="19" t="inlineStr"/>
      <c r="G38" s="20" t="inlineStr"/>
      <c r="H38" s="20" t="inlineStr"/>
      <c r="I38" s="21">
        <f>IF(AND(F38&lt;&gt;"",G38&lt;&gt;""),F38*G38,"")</f>
        <v/>
      </c>
      <c r="J38" s="21">
        <f>IF(AND(F38&lt;&gt;"",H38&lt;&gt;""),F38*H38,"")</f>
        <v/>
      </c>
      <c r="K38" s="22" t="inlineStr"/>
      <c r="L38" s="23">
        <f>IF(AND(I38&lt;&gt;"",J38&lt;&gt;""),J38-I38-IF(K38&lt;&gt;"",K38,0),"")</f>
        <v/>
      </c>
      <c r="M38" s="24">
        <f>IF(AND(L38&lt;&gt;"",I38&lt;&gt;"",I38&lt;&gt;0),L38/I38*100,"")</f>
        <v/>
      </c>
      <c r="N38" s="25" t="inlineStr"/>
      <c r="O38" s="26" t="inlineStr"/>
      <c r="P38" s="26" t="inlineStr"/>
      <c r="Q38" s="27" t="inlineStr"/>
      <c r="R38" s="28" t="inlineStr"/>
      <c r="S38" s="2" t="n"/>
    </row>
    <row r="39" ht="20" customHeight="1">
      <c r="A39" s="29" t="n">
        <v>36</v>
      </c>
      <c r="B39" s="30" t="inlineStr"/>
      <c r="C39" s="31" t="inlineStr"/>
      <c r="D39" s="32" t="inlineStr"/>
      <c r="E39" s="33" t="inlineStr"/>
      <c r="F39" s="34" t="inlineStr"/>
      <c r="G39" s="35" t="inlineStr"/>
      <c r="H39" s="35" t="inlineStr"/>
      <c r="I39" s="21">
        <f>IF(AND(F39&lt;&gt;"",G39&lt;&gt;""),F39*G39,"")</f>
        <v/>
      </c>
      <c r="J39" s="21">
        <f>IF(AND(F39&lt;&gt;"",H39&lt;&gt;""),F39*H39,"")</f>
        <v/>
      </c>
      <c r="K39" s="36" t="inlineStr"/>
      <c r="L39" s="23">
        <f>IF(AND(I39&lt;&gt;"",J39&lt;&gt;""),J39-I39-IF(K39&lt;&gt;"",K39,0),"")</f>
        <v/>
      </c>
      <c r="M39" s="24">
        <f>IF(AND(L39&lt;&gt;"",I39&lt;&gt;"",I39&lt;&gt;0),L39/I39*100,"")</f>
        <v/>
      </c>
      <c r="N39" s="37" t="inlineStr"/>
      <c r="O39" s="38" t="inlineStr"/>
      <c r="P39" s="38" t="inlineStr"/>
      <c r="Q39" s="39" t="inlineStr"/>
      <c r="R39" s="40" t="inlineStr"/>
      <c r="S39" s="2" t="n"/>
    </row>
    <row r="40" ht="20" customHeight="1">
      <c r="A40" s="14" t="n">
        <v>37</v>
      </c>
      <c r="B40" s="15" t="inlineStr"/>
      <c r="C40" s="16" t="inlineStr"/>
      <c r="D40" s="17" t="inlineStr"/>
      <c r="E40" s="18" t="inlineStr"/>
      <c r="F40" s="19" t="inlineStr"/>
      <c r="G40" s="20" t="inlineStr"/>
      <c r="H40" s="20" t="inlineStr"/>
      <c r="I40" s="21">
        <f>IF(AND(F40&lt;&gt;"",G40&lt;&gt;""),F40*G40,"")</f>
        <v/>
      </c>
      <c r="J40" s="21">
        <f>IF(AND(F40&lt;&gt;"",H40&lt;&gt;""),F40*H40,"")</f>
        <v/>
      </c>
      <c r="K40" s="22" t="inlineStr"/>
      <c r="L40" s="23">
        <f>IF(AND(I40&lt;&gt;"",J40&lt;&gt;""),J40-I40-IF(K40&lt;&gt;"",K40,0),"")</f>
        <v/>
      </c>
      <c r="M40" s="24">
        <f>IF(AND(L40&lt;&gt;"",I40&lt;&gt;"",I40&lt;&gt;0),L40/I40*100,"")</f>
        <v/>
      </c>
      <c r="N40" s="25" t="inlineStr"/>
      <c r="O40" s="26" t="inlineStr"/>
      <c r="P40" s="26" t="inlineStr"/>
      <c r="Q40" s="27" t="inlineStr"/>
      <c r="R40" s="28" t="inlineStr"/>
      <c r="S40" s="2" t="n"/>
    </row>
    <row r="41" ht="20" customHeight="1">
      <c r="A41" s="29" t="n">
        <v>38</v>
      </c>
      <c r="B41" s="30" t="inlineStr"/>
      <c r="C41" s="31" t="inlineStr"/>
      <c r="D41" s="32" t="inlineStr"/>
      <c r="E41" s="33" t="inlineStr"/>
      <c r="F41" s="34" t="inlineStr"/>
      <c r="G41" s="35" t="inlineStr"/>
      <c r="H41" s="35" t="inlineStr"/>
      <c r="I41" s="21">
        <f>IF(AND(F41&lt;&gt;"",G41&lt;&gt;""),F41*G41,"")</f>
        <v/>
      </c>
      <c r="J41" s="21">
        <f>IF(AND(F41&lt;&gt;"",H41&lt;&gt;""),F41*H41,"")</f>
        <v/>
      </c>
      <c r="K41" s="36" t="inlineStr"/>
      <c r="L41" s="23">
        <f>IF(AND(I41&lt;&gt;"",J41&lt;&gt;""),J41-I41-IF(K41&lt;&gt;"",K41,0),"")</f>
        <v/>
      </c>
      <c r="M41" s="24">
        <f>IF(AND(L41&lt;&gt;"",I41&lt;&gt;"",I41&lt;&gt;0),L41/I41*100,"")</f>
        <v/>
      </c>
      <c r="N41" s="37" t="inlineStr"/>
      <c r="O41" s="38" t="inlineStr"/>
      <c r="P41" s="38" t="inlineStr"/>
      <c r="Q41" s="39" t="inlineStr"/>
      <c r="R41" s="40" t="inlineStr"/>
      <c r="S41" s="2" t="n"/>
    </row>
    <row r="42" ht="20" customHeight="1">
      <c r="A42" s="14" t="n">
        <v>39</v>
      </c>
      <c r="B42" s="15" t="inlineStr"/>
      <c r="C42" s="16" t="inlineStr"/>
      <c r="D42" s="17" t="inlineStr"/>
      <c r="E42" s="18" t="inlineStr"/>
      <c r="F42" s="19" t="inlineStr"/>
      <c r="G42" s="20" t="inlineStr"/>
      <c r="H42" s="20" t="inlineStr"/>
      <c r="I42" s="21">
        <f>IF(AND(F42&lt;&gt;"",G42&lt;&gt;""),F42*G42,"")</f>
        <v/>
      </c>
      <c r="J42" s="21">
        <f>IF(AND(F42&lt;&gt;"",H42&lt;&gt;""),F42*H42,"")</f>
        <v/>
      </c>
      <c r="K42" s="22" t="inlineStr"/>
      <c r="L42" s="23">
        <f>IF(AND(I42&lt;&gt;"",J42&lt;&gt;""),J42-I42-IF(K42&lt;&gt;"",K42,0),"")</f>
        <v/>
      </c>
      <c r="M42" s="24">
        <f>IF(AND(L42&lt;&gt;"",I42&lt;&gt;"",I42&lt;&gt;0),L42/I42*100,"")</f>
        <v/>
      </c>
      <c r="N42" s="25" t="inlineStr"/>
      <c r="O42" s="26" t="inlineStr"/>
      <c r="P42" s="26" t="inlineStr"/>
      <c r="Q42" s="27" t="inlineStr"/>
      <c r="R42" s="28" t="inlineStr"/>
      <c r="S42" s="2" t="n"/>
    </row>
    <row r="43" ht="20" customHeight="1">
      <c r="A43" s="29" t="n">
        <v>40</v>
      </c>
      <c r="B43" s="30" t="inlineStr"/>
      <c r="C43" s="31" t="inlineStr"/>
      <c r="D43" s="32" t="inlineStr"/>
      <c r="E43" s="33" t="inlineStr"/>
      <c r="F43" s="34" t="inlineStr"/>
      <c r="G43" s="35" t="inlineStr"/>
      <c r="H43" s="35" t="inlineStr"/>
      <c r="I43" s="21">
        <f>IF(AND(F43&lt;&gt;"",G43&lt;&gt;""),F43*G43,"")</f>
        <v/>
      </c>
      <c r="J43" s="21">
        <f>IF(AND(F43&lt;&gt;"",H43&lt;&gt;""),F43*H43,"")</f>
        <v/>
      </c>
      <c r="K43" s="36" t="inlineStr"/>
      <c r="L43" s="23">
        <f>IF(AND(I43&lt;&gt;"",J43&lt;&gt;""),J43-I43-IF(K43&lt;&gt;"",K43,0),"")</f>
        <v/>
      </c>
      <c r="M43" s="24">
        <f>IF(AND(L43&lt;&gt;"",I43&lt;&gt;"",I43&lt;&gt;0),L43/I43*100,"")</f>
        <v/>
      </c>
      <c r="N43" s="37" t="inlineStr"/>
      <c r="O43" s="38" t="inlineStr"/>
      <c r="P43" s="38" t="inlineStr"/>
      <c r="Q43" s="39" t="inlineStr"/>
      <c r="R43" s="40" t="inlineStr"/>
      <c r="S43" s="2" t="n"/>
    </row>
    <row r="44" ht="20" customHeight="1">
      <c r="A44" s="14" t="n">
        <v>41</v>
      </c>
      <c r="B44" s="15" t="inlineStr"/>
      <c r="C44" s="16" t="inlineStr"/>
      <c r="D44" s="17" t="inlineStr"/>
      <c r="E44" s="18" t="inlineStr"/>
      <c r="F44" s="19" t="inlineStr"/>
      <c r="G44" s="20" t="inlineStr"/>
      <c r="H44" s="20" t="inlineStr"/>
      <c r="I44" s="21">
        <f>IF(AND(F44&lt;&gt;"",G44&lt;&gt;""),F44*G44,"")</f>
        <v/>
      </c>
      <c r="J44" s="21">
        <f>IF(AND(F44&lt;&gt;"",H44&lt;&gt;""),F44*H44,"")</f>
        <v/>
      </c>
      <c r="K44" s="22" t="inlineStr"/>
      <c r="L44" s="23">
        <f>IF(AND(I44&lt;&gt;"",J44&lt;&gt;""),J44-I44-IF(K44&lt;&gt;"",K44,0),"")</f>
        <v/>
      </c>
      <c r="M44" s="24">
        <f>IF(AND(L44&lt;&gt;"",I44&lt;&gt;"",I44&lt;&gt;0),L44/I44*100,"")</f>
        <v/>
      </c>
      <c r="N44" s="25" t="inlineStr"/>
      <c r="O44" s="26" t="inlineStr"/>
      <c r="P44" s="26" t="inlineStr"/>
      <c r="Q44" s="27" t="inlineStr"/>
      <c r="R44" s="28" t="inlineStr"/>
      <c r="S44" s="2" t="n"/>
    </row>
    <row r="45" ht="20" customHeight="1">
      <c r="A45" s="29" t="n">
        <v>42</v>
      </c>
      <c r="B45" s="30" t="inlineStr"/>
      <c r="C45" s="31" t="inlineStr"/>
      <c r="D45" s="32" t="inlineStr"/>
      <c r="E45" s="33" t="inlineStr"/>
      <c r="F45" s="34" t="inlineStr"/>
      <c r="G45" s="35" t="inlineStr"/>
      <c r="H45" s="35" t="inlineStr"/>
      <c r="I45" s="21">
        <f>IF(AND(F45&lt;&gt;"",G45&lt;&gt;""),F45*G45,"")</f>
        <v/>
      </c>
      <c r="J45" s="21">
        <f>IF(AND(F45&lt;&gt;"",H45&lt;&gt;""),F45*H45,"")</f>
        <v/>
      </c>
      <c r="K45" s="36" t="inlineStr"/>
      <c r="L45" s="23">
        <f>IF(AND(I45&lt;&gt;"",J45&lt;&gt;""),J45-I45-IF(K45&lt;&gt;"",K45,0),"")</f>
        <v/>
      </c>
      <c r="M45" s="24">
        <f>IF(AND(L45&lt;&gt;"",I45&lt;&gt;"",I45&lt;&gt;0),L45/I45*100,"")</f>
        <v/>
      </c>
      <c r="N45" s="37" t="inlineStr"/>
      <c r="O45" s="38" t="inlineStr"/>
      <c r="P45" s="38" t="inlineStr"/>
      <c r="Q45" s="39" t="inlineStr"/>
      <c r="R45" s="40" t="inlineStr"/>
      <c r="S45" s="2" t="n"/>
    </row>
    <row r="46" ht="20" customHeight="1">
      <c r="A46" s="14" t="n">
        <v>43</v>
      </c>
      <c r="B46" s="15" t="inlineStr"/>
      <c r="C46" s="16" t="inlineStr"/>
      <c r="D46" s="17" t="inlineStr"/>
      <c r="E46" s="18" t="inlineStr"/>
      <c r="F46" s="19" t="inlineStr"/>
      <c r="G46" s="20" t="inlineStr"/>
      <c r="H46" s="20" t="inlineStr"/>
      <c r="I46" s="21">
        <f>IF(AND(F46&lt;&gt;"",G46&lt;&gt;""),F46*G46,"")</f>
        <v/>
      </c>
      <c r="J46" s="21">
        <f>IF(AND(F46&lt;&gt;"",H46&lt;&gt;""),F46*H46,"")</f>
        <v/>
      </c>
      <c r="K46" s="22" t="inlineStr"/>
      <c r="L46" s="23">
        <f>IF(AND(I46&lt;&gt;"",J46&lt;&gt;""),J46-I46-IF(K46&lt;&gt;"",K46,0),"")</f>
        <v/>
      </c>
      <c r="M46" s="24">
        <f>IF(AND(L46&lt;&gt;"",I46&lt;&gt;"",I46&lt;&gt;0),L46/I46*100,"")</f>
        <v/>
      </c>
      <c r="N46" s="25" t="inlineStr"/>
      <c r="O46" s="26" t="inlineStr"/>
      <c r="P46" s="26" t="inlineStr"/>
      <c r="Q46" s="27" t="inlineStr"/>
      <c r="R46" s="28" t="inlineStr"/>
      <c r="S46" s="2" t="n"/>
    </row>
    <row r="47" ht="20" customHeight="1">
      <c r="A47" s="29" t="n">
        <v>44</v>
      </c>
      <c r="B47" s="30" t="inlineStr"/>
      <c r="C47" s="31" t="inlineStr"/>
      <c r="D47" s="32" t="inlineStr"/>
      <c r="E47" s="33" t="inlineStr"/>
      <c r="F47" s="34" t="inlineStr"/>
      <c r="G47" s="35" t="inlineStr"/>
      <c r="H47" s="35" t="inlineStr"/>
      <c r="I47" s="21">
        <f>IF(AND(F47&lt;&gt;"",G47&lt;&gt;""),F47*G47,"")</f>
        <v/>
      </c>
      <c r="J47" s="21">
        <f>IF(AND(F47&lt;&gt;"",H47&lt;&gt;""),F47*H47,"")</f>
        <v/>
      </c>
      <c r="K47" s="36" t="inlineStr"/>
      <c r="L47" s="23">
        <f>IF(AND(I47&lt;&gt;"",J47&lt;&gt;""),J47-I47-IF(K47&lt;&gt;"",K47,0),"")</f>
        <v/>
      </c>
      <c r="M47" s="24">
        <f>IF(AND(L47&lt;&gt;"",I47&lt;&gt;"",I47&lt;&gt;0),L47/I47*100,"")</f>
        <v/>
      </c>
      <c r="N47" s="37" t="inlineStr"/>
      <c r="O47" s="38" t="inlineStr"/>
      <c r="P47" s="38" t="inlineStr"/>
      <c r="Q47" s="39" t="inlineStr"/>
      <c r="R47" s="40" t="inlineStr"/>
      <c r="S47" s="2" t="n"/>
    </row>
    <row r="48" ht="20" customHeight="1">
      <c r="A48" s="14" t="n">
        <v>45</v>
      </c>
      <c r="B48" s="15" t="inlineStr"/>
      <c r="C48" s="16" t="inlineStr"/>
      <c r="D48" s="17" t="inlineStr"/>
      <c r="E48" s="18" t="inlineStr"/>
      <c r="F48" s="19" t="inlineStr"/>
      <c r="G48" s="20" t="inlineStr"/>
      <c r="H48" s="20" t="inlineStr"/>
      <c r="I48" s="21">
        <f>IF(AND(F48&lt;&gt;"",G48&lt;&gt;""),F48*G48,"")</f>
        <v/>
      </c>
      <c r="J48" s="21">
        <f>IF(AND(F48&lt;&gt;"",H48&lt;&gt;""),F48*H48,"")</f>
        <v/>
      </c>
      <c r="K48" s="22" t="inlineStr"/>
      <c r="L48" s="23">
        <f>IF(AND(I48&lt;&gt;"",J48&lt;&gt;""),J48-I48-IF(K48&lt;&gt;"",K48,0),"")</f>
        <v/>
      </c>
      <c r="M48" s="24">
        <f>IF(AND(L48&lt;&gt;"",I48&lt;&gt;"",I48&lt;&gt;0),L48/I48*100,"")</f>
        <v/>
      </c>
      <c r="N48" s="25" t="inlineStr"/>
      <c r="O48" s="26" t="inlineStr"/>
      <c r="P48" s="26" t="inlineStr"/>
      <c r="Q48" s="27" t="inlineStr"/>
      <c r="R48" s="28" t="inlineStr"/>
      <c r="S48" s="2" t="n"/>
    </row>
    <row r="49" ht="20" customHeight="1">
      <c r="A49" s="29" t="n">
        <v>46</v>
      </c>
      <c r="B49" s="30" t="inlineStr"/>
      <c r="C49" s="31" t="inlineStr"/>
      <c r="D49" s="32" t="inlineStr"/>
      <c r="E49" s="33" t="inlineStr"/>
      <c r="F49" s="34" t="inlineStr"/>
      <c r="G49" s="35" t="inlineStr"/>
      <c r="H49" s="35" t="inlineStr"/>
      <c r="I49" s="21">
        <f>IF(AND(F49&lt;&gt;"",G49&lt;&gt;""),F49*G49,"")</f>
        <v/>
      </c>
      <c r="J49" s="21">
        <f>IF(AND(F49&lt;&gt;"",H49&lt;&gt;""),F49*H49,"")</f>
        <v/>
      </c>
      <c r="K49" s="36" t="inlineStr"/>
      <c r="L49" s="23">
        <f>IF(AND(I49&lt;&gt;"",J49&lt;&gt;""),J49-I49-IF(K49&lt;&gt;"",K49,0),"")</f>
        <v/>
      </c>
      <c r="M49" s="24">
        <f>IF(AND(L49&lt;&gt;"",I49&lt;&gt;"",I49&lt;&gt;0),L49/I49*100,"")</f>
        <v/>
      </c>
      <c r="N49" s="37" t="inlineStr"/>
      <c r="O49" s="38" t="inlineStr"/>
      <c r="P49" s="38" t="inlineStr"/>
      <c r="Q49" s="39" t="inlineStr"/>
      <c r="R49" s="40" t="inlineStr"/>
      <c r="S49" s="2" t="n"/>
    </row>
    <row r="50" ht="20" customHeight="1">
      <c r="A50" s="14" t="n">
        <v>47</v>
      </c>
      <c r="B50" s="15" t="inlineStr"/>
      <c r="C50" s="16" t="inlineStr"/>
      <c r="D50" s="17" t="inlineStr"/>
      <c r="E50" s="18" t="inlineStr"/>
      <c r="F50" s="19" t="inlineStr"/>
      <c r="G50" s="20" t="inlineStr"/>
      <c r="H50" s="20" t="inlineStr"/>
      <c r="I50" s="21">
        <f>IF(AND(F50&lt;&gt;"",G50&lt;&gt;""),F50*G50,"")</f>
        <v/>
      </c>
      <c r="J50" s="21">
        <f>IF(AND(F50&lt;&gt;"",H50&lt;&gt;""),F50*H50,"")</f>
        <v/>
      </c>
      <c r="K50" s="22" t="inlineStr"/>
      <c r="L50" s="23">
        <f>IF(AND(I50&lt;&gt;"",J50&lt;&gt;""),J50-I50-IF(K50&lt;&gt;"",K50,0),"")</f>
        <v/>
      </c>
      <c r="M50" s="24">
        <f>IF(AND(L50&lt;&gt;"",I50&lt;&gt;"",I50&lt;&gt;0),L50/I50*100,"")</f>
        <v/>
      </c>
      <c r="N50" s="25" t="inlineStr"/>
      <c r="O50" s="26" t="inlineStr"/>
      <c r="P50" s="26" t="inlineStr"/>
      <c r="Q50" s="27" t="inlineStr"/>
      <c r="R50" s="28" t="inlineStr"/>
      <c r="S50" s="2" t="n"/>
    </row>
    <row r="51" ht="20" customHeight="1">
      <c r="A51" s="29" t="n">
        <v>48</v>
      </c>
      <c r="B51" s="30" t="inlineStr"/>
      <c r="C51" s="31" t="inlineStr"/>
      <c r="D51" s="32" t="inlineStr"/>
      <c r="E51" s="33" t="inlineStr"/>
      <c r="F51" s="34" t="inlineStr"/>
      <c r="G51" s="35" t="inlineStr"/>
      <c r="H51" s="35" t="inlineStr"/>
      <c r="I51" s="21">
        <f>IF(AND(F51&lt;&gt;"",G51&lt;&gt;""),F51*G51,"")</f>
        <v/>
      </c>
      <c r="J51" s="21">
        <f>IF(AND(F51&lt;&gt;"",H51&lt;&gt;""),F51*H51,"")</f>
        <v/>
      </c>
      <c r="K51" s="36" t="inlineStr"/>
      <c r="L51" s="23">
        <f>IF(AND(I51&lt;&gt;"",J51&lt;&gt;""),J51-I51-IF(K51&lt;&gt;"",K51,0),"")</f>
        <v/>
      </c>
      <c r="M51" s="24">
        <f>IF(AND(L51&lt;&gt;"",I51&lt;&gt;"",I51&lt;&gt;0),L51/I51*100,"")</f>
        <v/>
      </c>
      <c r="N51" s="37" t="inlineStr"/>
      <c r="O51" s="38" t="inlineStr"/>
      <c r="P51" s="38" t="inlineStr"/>
      <c r="Q51" s="39" t="inlineStr"/>
      <c r="R51" s="40" t="inlineStr"/>
      <c r="S51" s="2" t="n"/>
    </row>
    <row r="52" ht="20" customHeight="1">
      <c r="A52" s="14" t="n">
        <v>49</v>
      </c>
      <c r="B52" s="15" t="inlineStr"/>
      <c r="C52" s="16" t="inlineStr"/>
      <c r="D52" s="17" t="inlineStr"/>
      <c r="E52" s="18" t="inlineStr"/>
      <c r="F52" s="19" t="inlineStr"/>
      <c r="G52" s="20" t="inlineStr"/>
      <c r="H52" s="20" t="inlineStr"/>
      <c r="I52" s="21">
        <f>IF(AND(F52&lt;&gt;"",G52&lt;&gt;""),F52*G52,"")</f>
        <v/>
      </c>
      <c r="J52" s="21">
        <f>IF(AND(F52&lt;&gt;"",H52&lt;&gt;""),F52*H52,"")</f>
        <v/>
      </c>
      <c r="K52" s="22" t="inlineStr"/>
      <c r="L52" s="23">
        <f>IF(AND(I52&lt;&gt;"",J52&lt;&gt;""),J52-I52-IF(K52&lt;&gt;"",K52,0),"")</f>
        <v/>
      </c>
      <c r="M52" s="24">
        <f>IF(AND(L52&lt;&gt;"",I52&lt;&gt;"",I52&lt;&gt;0),L52/I52*100,"")</f>
        <v/>
      </c>
      <c r="N52" s="25" t="inlineStr"/>
      <c r="O52" s="26" t="inlineStr"/>
      <c r="P52" s="26" t="inlineStr"/>
      <c r="Q52" s="27" t="inlineStr"/>
      <c r="R52" s="28" t="inlineStr"/>
      <c r="S52" s="2" t="n"/>
    </row>
    <row r="53" ht="20" customHeight="1">
      <c r="A53" s="29" t="n">
        <v>50</v>
      </c>
      <c r="B53" s="30" t="inlineStr"/>
      <c r="C53" s="31" t="inlineStr"/>
      <c r="D53" s="32" t="inlineStr"/>
      <c r="E53" s="33" t="inlineStr"/>
      <c r="F53" s="34" t="inlineStr"/>
      <c r="G53" s="35" t="inlineStr"/>
      <c r="H53" s="35" t="inlineStr"/>
      <c r="I53" s="21">
        <f>IF(AND(F53&lt;&gt;"",G53&lt;&gt;""),F53*G53,"")</f>
        <v/>
      </c>
      <c r="J53" s="21">
        <f>IF(AND(F53&lt;&gt;"",H53&lt;&gt;""),F53*H53,"")</f>
        <v/>
      </c>
      <c r="K53" s="36" t="inlineStr"/>
      <c r="L53" s="23">
        <f>IF(AND(I53&lt;&gt;"",J53&lt;&gt;""),J53-I53-IF(K53&lt;&gt;"",K53,0),"")</f>
        <v/>
      </c>
      <c r="M53" s="24">
        <f>IF(AND(L53&lt;&gt;"",I53&lt;&gt;"",I53&lt;&gt;0),L53/I53*100,"")</f>
        <v/>
      </c>
      <c r="N53" s="37" t="inlineStr"/>
      <c r="O53" s="38" t="inlineStr"/>
      <c r="P53" s="38" t="inlineStr"/>
      <c r="Q53" s="39" t="inlineStr"/>
      <c r="R53" s="40" t="inlineStr"/>
      <c r="S53" s="2" t="n"/>
    </row>
    <row r="54" ht="20" customHeight="1">
      <c r="A54" s="14" t="n">
        <v>51</v>
      </c>
      <c r="B54" s="15" t="inlineStr"/>
      <c r="C54" s="16" t="inlineStr"/>
      <c r="D54" s="17" t="inlineStr"/>
      <c r="E54" s="18" t="inlineStr"/>
      <c r="F54" s="19" t="inlineStr"/>
      <c r="G54" s="20" t="inlineStr"/>
      <c r="H54" s="20" t="inlineStr"/>
      <c r="I54" s="21">
        <f>IF(AND(F54&lt;&gt;"",G54&lt;&gt;""),F54*G54,"")</f>
        <v/>
      </c>
      <c r="J54" s="21">
        <f>IF(AND(F54&lt;&gt;"",H54&lt;&gt;""),F54*H54,"")</f>
        <v/>
      </c>
      <c r="K54" s="22" t="inlineStr"/>
      <c r="L54" s="23">
        <f>IF(AND(I54&lt;&gt;"",J54&lt;&gt;""),J54-I54-IF(K54&lt;&gt;"",K54,0),"")</f>
        <v/>
      </c>
      <c r="M54" s="24">
        <f>IF(AND(L54&lt;&gt;"",I54&lt;&gt;"",I54&lt;&gt;0),L54/I54*100,"")</f>
        <v/>
      </c>
      <c r="N54" s="25" t="inlineStr"/>
      <c r="O54" s="26" t="inlineStr"/>
      <c r="P54" s="26" t="inlineStr"/>
      <c r="Q54" s="27" t="inlineStr"/>
      <c r="R54" s="28" t="inlineStr"/>
      <c r="S54" s="2" t="n"/>
    </row>
    <row r="55" ht="20" customHeight="1">
      <c r="A55" s="29" t="n">
        <v>52</v>
      </c>
      <c r="B55" s="30" t="inlineStr"/>
      <c r="C55" s="31" t="inlineStr"/>
      <c r="D55" s="32" t="inlineStr"/>
      <c r="E55" s="33" t="inlineStr"/>
      <c r="F55" s="34" t="inlineStr"/>
      <c r="G55" s="35" t="inlineStr"/>
      <c r="H55" s="35" t="inlineStr"/>
      <c r="I55" s="21">
        <f>IF(AND(F55&lt;&gt;"",G55&lt;&gt;""),F55*G55,"")</f>
        <v/>
      </c>
      <c r="J55" s="21">
        <f>IF(AND(F55&lt;&gt;"",H55&lt;&gt;""),F55*H55,"")</f>
        <v/>
      </c>
      <c r="K55" s="36" t="inlineStr"/>
      <c r="L55" s="23">
        <f>IF(AND(I55&lt;&gt;"",J55&lt;&gt;""),J55-I55-IF(K55&lt;&gt;"",K55,0),"")</f>
        <v/>
      </c>
      <c r="M55" s="24">
        <f>IF(AND(L55&lt;&gt;"",I55&lt;&gt;"",I55&lt;&gt;0),L55/I55*100,"")</f>
        <v/>
      </c>
      <c r="N55" s="37" t="inlineStr"/>
      <c r="O55" s="38" t="inlineStr"/>
      <c r="P55" s="38" t="inlineStr"/>
      <c r="Q55" s="39" t="inlineStr"/>
      <c r="R55" s="40" t="inlineStr"/>
      <c r="S55" s="2" t="n"/>
    </row>
    <row r="56" ht="20" customHeight="1">
      <c r="A56" s="14" t="n">
        <v>53</v>
      </c>
      <c r="B56" s="15" t="inlineStr"/>
      <c r="C56" s="16" t="inlineStr"/>
      <c r="D56" s="17" t="inlineStr"/>
      <c r="E56" s="18" t="inlineStr"/>
      <c r="F56" s="19" t="inlineStr"/>
      <c r="G56" s="20" t="inlineStr"/>
      <c r="H56" s="20" t="inlineStr"/>
      <c r="I56" s="21">
        <f>IF(AND(F56&lt;&gt;"",G56&lt;&gt;""),F56*G56,"")</f>
        <v/>
      </c>
      <c r="J56" s="21">
        <f>IF(AND(F56&lt;&gt;"",H56&lt;&gt;""),F56*H56,"")</f>
        <v/>
      </c>
      <c r="K56" s="22" t="inlineStr"/>
      <c r="L56" s="23">
        <f>IF(AND(I56&lt;&gt;"",J56&lt;&gt;""),J56-I56-IF(K56&lt;&gt;"",K56,0),"")</f>
        <v/>
      </c>
      <c r="M56" s="24">
        <f>IF(AND(L56&lt;&gt;"",I56&lt;&gt;"",I56&lt;&gt;0),L56/I56*100,"")</f>
        <v/>
      </c>
      <c r="N56" s="25" t="inlineStr"/>
      <c r="O56" s="26" t="inlineStr"/>
      <c r="P56" s="26" t="inlineStr"/>
      <c r="Q56" s="27" t="inlineStr"/>
      <c r="R56" s="28" t="inlineStr"/>
      <c r="S56" s="2" t="n"/>
    </row>
    <row r="57" ht="20" customHeight="1">
      <c r="A57" s="29" t="n">
        <v>54</v>
      </c>
      <c r="B57" s="30" t="inlineStr"/>
      <c r="C57" s="31" t="inlineStr"/>
      <c r="D57" s="32" t="inlineStr"/>
      <c r="E57" s="33" t="inlineStr"/>
      <c r="F57" s="34" t="inlineStr"/>
      <c r="G57" s="35" t="inlineStr"/>
      <c r="H57" s="35" t="inlineStr"/>
      <c r="I57" s="21">
        <f>IF(AND(F57&lt;&gt;"",G57&lt;&gt;""),F57*G57,"")</f>
        <v/>
      </c>
      <c r="J57" s="21">
        <f>IF(AND(F57&lt;&gt;"",H57&lt;&gt;""),F57*H57,"")</f>
        <v/>
      </c>
      <c r="K57" s="36" t="inlineStr"/>
      <c r="L57" s="23">
        <f>IF(AND(I57&lt;&gt;"",J57&lt;&gt;""),J57-I57-IF(K57&lt;&gt;"",K57,0),"")</f>
        <v/>
      </c>
      <c r="M57" s="24">
        <f>IF(AND(L57&lt;&gt;"",I57&lt;&gt;"",I57&lt;&gt;0),L57/I57*100,"")</f>
        <v/>
      </c>
      <c r="N57" s="37" t="inlineStr"/>
      <c r="O57" s="38" t="inlineStr"/>
      <c r="P57" s="38" t="inlineStr"/>
      <c r="Q57" s="39" t="inlineStr"/>
      <c r="R57" s="40" t="inlineStr"/>
      <c r="S57" s="2" t="n"/>
    </row>
    <row r="58" ht="20" customHeight="1">
      <c r="A58" s="14" t="n">
        <v>55</v>
      </c>
      <c r="B58" s="15" t="inlineStr"/>
      <c r="C58" s="16" t="inlineStr"/>
      <c r="D58" s="17" t="inlineStr"/>
      <c r="E58" s="18" t="inlineStr"/>
      <c r="F58" s="19" t="inlineStr"/>
      <c r="G58" s="20" t="inlineStr"/>
      <c r="H58" s="20" t="inlineStr"/>
      <c r="I58" s="21">
        <f>IF(AND(F58&lt;&gt;"",G58&lt;&gt;""),F58*G58,"")</f>
        <v/>
      </c>
      <c r="J58" s="21">
        <f>IF(AND(F58&lt;&gt;"",H58&lt;&gt;""),F58*H58,"")</f>
        <v/>
      </c>
      <c r="K58" s="22" t="inlineStr"/>
      <c r="L58" s="23">
        <f>IF(AND(I58&lt;&gt;"",J58&lt;&gt;""),J58-I58-IF(K58&lt;&gt;"",K58,0),"")</f>
        <v/>
      </c>
      <c r="M58" s="24">
        <f>IF(AND(L58&lt;&gt;"",I58&lt;&gt;"",I58&lt;&gt;0),L58/I58*100,"")</f>
        <v/>
      </c>
      <c r="N58" s="25" t="inlineStr"/>
      <c r="O58" s="26" t="inlineStr"/>
      <c r="P58" s="26" t="inlineStr"/>
      <c r="Q58" s="27" t="inlineStr"/>
      <c r="R58" s="28" t="inlineStr"/>
      <c r="S58" s="2" t="n"/>
    </row>
    <row r="59" ht="20" customHeight="1">
      <c r="A59" s="29" t="n">
        <v>56</v>
      </c>
      <c r="B59" s="30" t="inlineStr"/>
      <c r="C59" s="31" t="inlineStr"/>
      <c r="D59" s="32" t="inlineStr"/>
      <c r="E59" s="33" t="inlineStr"/>
      <c r="F59" s="34" t="inlineStr"/>
      <c r="G59" s="35" t="inlineStr"/>
      <c r="H59" s="35" t="inlineStr"/>
      <c r="I59" s="21">
        <f>IF(AND(F59&lt;&gt;"",G59&lt;&gt;""),F59*G59,"")</f>
        <v/>
      </c>
      <c r="J59" s="21">
        <f>IF(AND(F59&lt;&gt;"",H59&lt;&gt;""),F59*H59,"")</f>
        <v/>
      </c>
      <c r="K59" s="36" t="inlineStr"/>
      <c r="L59" s="23">
        <f>IF(AND(I59&lt;&gt;"",J59&lt;&gt;""),J59-I59-IF(K59&lt;&gt;"",K59,0),"")</f>
        <v/>
      </c>
      <c r="M59" s="24">
        <f>IF(AND(L59&lt;&gt;"",I59&lt;&gt;"",I59&lt;&gt;0),L59/I59*100,"")</f>
        <v/>
      </c>
      <c r="N59" s="37" t="inlineStr"/>
      <c r="O59" s="38" t="inlineStr"/>
      <c r="P59" s="38" t="inlineStr"/>
      <c r="Q59" s="39" t="inlineStr"/>
      <c r="R59" s="40" t="inlineStr"/>
      <c r="S59" s="2" t="n"/>
    </row>
    <row r="60" ht="20" customHeight="1">
      <c r="A60" s="14" t="n">
        <v>57</v>
      </c>
      <c r="B60" s="15" t="inlineStr"/>
      <c r="C60" s="16" t="inlineStr"/>
      <c r="D60" s="17" t="inlineStr"/>
      <c r="E60" s="18" t="inlineStr"/>
      <c r="F60" s="19" t="inlineStr"/>
      <c r="G60" s="20" t="inlineStr"/>
      <c r="H60" s="20" t="inlineStr"/>
      <c r="I60" s="21">
        <f>IF(AND(F60&lt;&gt;"",G60&lt;&gt;""),F60*G60,"")</f>
        <v/>
      </c>
      <c r="J60" s="21">
        <f>IF(AND(F60&lt;&gt;"",H60&lt;&gt;""),F60*H60,"")</f>
        <v/>
      </c>
      <c r="K60" s="22" t="inlineStr"/>
      <c r="L60" s="23">
        <f>IF(AND(I60&lt;&gt;"",J60&lt;&gt;""),J60-I60-IF(K60&lt;&gt;"",K60,0),"")</f>
        <v/>
      </c>
      <c r="M60" s="24">
        <f>IF(AND(L60&lt;&gt;"",I60&lt;&gt;"",I60&lt;&gt;0),L60/I60*100,"")</f>
        <v/>
      </c>
      <c r="N60" s="25" t="inlineStr"/>
      <c r="O60" s="26" t="inlineStr"/>
      <c r="P60" s="26" t="inlineStr"/>
      <c r="Q60" s="27" t="inlineStr"/>
      <c r="R60" s="28" t="inlineStr"/>
      <c r="S60" s="2" t="n"/>
    </row>
    <row r="61" ht="20" customHeight="1">
      <c r="A61" s="29" t="n">
        <v>58</v>
      </c>
      <c r="B61" s="30" t="inlineStr"/>
      <c r="C61" s="31" t="inlineStr"/>
      <c r="D61" s="32" t="inlineStr"/>
      <c r="E61" s="33" t="inlineStr"/>
      <c r="F61" s="34" t="inlineStr"/>
      <c r="G61" s="35" t="inlineStr"/>
      <c r="H61" s="35" t="inlineStr"/>
      <c r="I61" s="21">
        <f>IF(AND(F61&lt;&gt;"",G61&lt;&gt;""),F61*G61,"")</f>
        <v/>
      </c>
      <c r="J61" s="21">
        <f>IF(AND(F61&lt;&gt;"",H61&lt;&gt;""),F61*H61,"")</f>
        <v/>
      </c>
      <c r="K61" s="36" t="inlineStr"/>
      <c r="L61" s="23">
        <f>IF(AND(I61&lt;&gt;"",J61&lt;&gt;""),J61-I61-IF(K61&lt;&gt;"",K61,0),"")</f>
        <v/>
      </c>
      <c r="M61" s="24">
        <f>IF(AND(L61&lt;&gt;"",I61&lt;&gt;"",I61&lt;&gt;0),L61/I61*100,"")</f>
        <v/>
      </c>
      <c r="N61" s="37" t="inlineStr"/>
      <c r="O61" s="38" t="inlineStr"/>
      <c r="P61" s="38" t="inlineStr"/>
      <c r="Q61" s="39" t="inlineStr"/>
      <c r="R61" s="40" t="inlineStr"/>
      <c r="S61" s="2" t="n"/>
    </row>
    <row r="62" ht="20" customHeight="1">
      <c r="A62" s="14" t="n">
        <v>59</v>
      </c>
      <c r="B62" s="15" t="inlineStr"/>
      <c r="C62" s="16" t="inlineStr"/>
      <c r="D62" s="17" t="inlineStr"/>
      <c r="E62" s="18" t="inlineStr"/>
      <c r="F62" s="19" t="inlineStr"/>
      <c r="G62" s="20" t="inlineStr"/>
      <c r="H62" s="20" t="inlineStr"/>
      <c r="I62" s="21">
        <f>IF(AND(F62&lt;&gt;"",G62&lt;&gt;""),F62*G62,"")</f>
        <v/>
      </c>
      <c r="J62" s="21">
        <f>IF(AND(F62&lt;&gt;"",H62&lt;&gt;""),F62*H62,"")</f>
        <v/>
      </c>
      <c r="K62" s="22" t="inlineStr"/>
      <c r="L62" s="23">
        <f>IF(AND(I62&lt;&gt;"",J62&lt;&gt;""),J62-I62-IF(K62&lt;&gt;"",K62,0),"")</f>
        <v/>
      </c>
      <c r="M62" s="24">
        <f>IF(AND(L62&lt;&gt;"",I62&lt;&gt;"",I62&lt;&gt;0),L62/I62*100,"")</f>
        <v/>
      </c>
      <c r="N62" s="25" t="inlineStr"/>
      <c r="O62" s="26" t="inlineStr"/>
      <c r="P62" s="26" t="inlineStr"/>
      <c r="Q62" s="27" t="inlineStr"/>
      <c r="R62" s="28" t="inlineStr"/>
      <c r="S62" s="2" t="n"/>
    </row>
    <row r="63" ht="20" customHeight="1">
      <c r="A63" s="29" t="n">
        <v>60</v>
      </c>
      <c r="B63" s="30" t="inlineStr"/>
      <c r="C63" s="31" t="inlineStr"/>
      <c r="D63" s="32" t="inlineStr"/>
      <c r="E63" s="33" t="inlineStr"/>
      <c r="F63" s="34" t="inlineStr"/>
      <c r="G63" s="35" t="inlineStr"/>
      <c r="H63" s="35" t="inlineStr"/>
      <c r="I63" s="21">
        <f>IF(AND(F63&lt;&gt;"",G63&lt;&gt;""),F63*G63,"")</f>
        <v/>
      </c>
      <c r="J63" s="21">
        <f>IF(AND(F63&lt;&gt;"",H63&lt;&gt;""),F63*H63,"")</f>
        <v/>
      </c>
      <c r="K63" s="36" t="inlineStr"/>
      <c r="L63" s="23">
        <f>IF(AND(I63&lt;&gt;"",J63&lt;&gt;""),J63-I63-IF(K63&lt;&gt;"",K63,0),"")</f>
        <v/>
      </c>
      <c r="M63" s="24">
        <f>IF(AND(L63&lt;&gt;"",I63&lt;&gt;"",I63&lt;&gt;0),L63/I63*100,"")</f>
        <v/>
      </c>
      <c r="N63" s="37" t="inlineStr"/>
      <c r="O63" s="38" t="inlineStr"/>
      <c r="P63" s="38" t="inlineStr"/>
      <c r="Q63" s="39" t="inlineStr"/>
      <c r="R63" s="40" t="inlineStr"/>
      <c r="S63" s="2" t="n"/>
    </row>
    <row r="64" ht="20" customHeight="1">
      <c r="A64" s="14" t="n">
        <v>61</v>
      </c>
      <c r="B64" s="15" t="inlineStr"/>
      <c r="C64" s="16" t="inlineStr"/>
      <c r="D64" s="17" t="inlineStr"/>
      <c r="E64" s="18" t="inlineStr"/>
      <c r="F64" s="19" t="inlineStr"/>
      <c r="G64" s="20" t="inlineStr"/>
      <c r="H64" s="20" t="inlineStr"/>
      <c r="I64" s="21">
        <f>IF(AND(F64&lt;&gt;"",G64&lt;&gt;""),F64*G64,"")</f>
        <v/>
      </c>
      <c r="J64" s="21">
        <f>IF(AND(F64&lt;&gt;"",H64&lt;&gt;""),F64*H64,"")</f>
        <v/>
      </c>
      <c r="K64" s="22" t="inlineStr"/>
      <c r="L64" s="23">
        <f>IF(AND(I64&lt;&gt;"",J64&lt;&gt;""),J64-I64-IF(K64&lt;&gt;"",K64,0),"")</f>
        <v/>
      </c>
      <c r="M64" s="24">
        <f>IF(AND(L64&lt;&gt;"",I64&lt;&gt;"",I64&lt;&gt;0),L64/I64*100,"")</f>
        <v/>
      </c>
      <c r="N64" s="25" t="inlineStr"/>
      <c r="O64" s="26" t="inlineStr"/>
      <c r="P64" s="26" t="inlineStr"/>
      <c r="Q64" s="27" t="inlineStr"/>
      <c r="R64" s="28" t="inlineStr"/>
      <c r="S64" s="2" t="n"/>
    </row>
    <row r="65" ht="20" customHeight="1">
      <c r="A65" s="29" t="n">
        <v>62</v>
      </c>
      <c r="B65" s="30" t="inlineStr"/>
      <c r="C65" s="31" t="inlineStr"/>
      <c r="D65" s="32" t="inlineStr"/>
      <c r="E65" s="33" t="inlineStr"/>
      <c r="F65" s="34" t="inlineStr"/>
      <c r="G65" s="35" t="inlineStr"/>
      <c r="H65" s="35" t="inlineStr"/>
      <c r="I65" s="21">
        <f>IF(AND(F65&lt;&gt;"",G65&lt;&gt;""),F65*G65,"")</f>
        <v/>
      </c>
      <c r="J65" s="21">
        <f>IF(AND(F65&lt;&gt;"",H65&lt;&gt;""),F65*H65,"")</f>
        <v/>
      </c>
      <c r="K65" s="36" t="inlineStr"/>
      <c r="L65" s="23">
        <f>IF(AND(I65&lt;&gt;"",J65&lt;&gt;""),J65-I65-IF(K65&lt;&gt;"",K65,0),"")</f>
        <v/>
      </c>
      <c r="M65" s="24">
        <f>IF(AND(L65&lt;&gt;"",I65&lt;&gt;"",I65&lt;&gt;0),L65/I65*100,"")</f>
        <v/>
      </c>
      <c r="N65" s="37" t="inlineStr"/>
      <c r="O65" s="38" t="inlineStr"/>
      <c r="P65" s="38" t="inlineStr"/>
      <c r="Q65" s="39" t="inlineStr"/>
      <c r="R65" s="40" t="inlineStr"/>
      <c r="S65" s="2" t="n"/>
    </row>
    <row r="66" ht="20" customHeight="1">
      <c r="A66" s="14" t="n">
        <v>63</v>
      </c>
      <c r="B66" s="15" t="inlineStr"/>
      <c r="C66" s="16" t="inlineStr"/>
      <c r="D66" s="17" t="inlineStr"/>
      <c r="E66" s="18" t="inlineStr"/>
      <c r="F66" s="19" t="inlineStr"/>
      <c r="G66" s="20" t="inlineStr"/>
      <c r="H66" s="20" t="inlineStr"/>
      <c r="I66" s="21">
        <f>IF(AND(F66&lt;&gt;"",G66&lt;&gt;""),F66*G66,"")</f>
        <v/>
      </c>
      <c r="J66" s="21">
        <f>IF(AND(F66&lt;&gt;"",H66&lt;&gt;""),F66*H66,"")</f>
        <v/>
      </c>
      <c r="K66" s="22" t="inlineStr"/>
      <c r="L66" s="23">
        <f>IF(AND(I66&lt;&gt;"",J66&lt;&gt;""),J66-I66-IF(K66&lt;&gt;"",K66,0),"")</f>
        <v/>
      </c>
      <c r="M66" s="24">
        <f>IF(AND(L66&lt;&gt;"",I66&lt;&gt;"",I66&lt;&gt;0),L66/I66*100,"")</f>
        <v/>
      </c>
      <c r="N66" s="25" t="inlineStr"/>
      <c r="O66" s="26" t="inlineStr"/>
      <c r="P66" s="26" t="inlineStr"/>
      <c r="Q66" s="27" t="inlineStr"/>
      <c r="R66" s="28" t="inlineStr"/>
      <c r="S66" s="2" t="n"/>
    </row>
    <row r="67" ht="20" customHeight="1">
      <c r="A67" s="29" t="n">
        <v>64</v>
      </c>
      <c r="B67" s="30" t="inlineStr"/>
      <c r="C67" s="31" t="inlineStr"/>
      <c r="D67" s="32" t="inlineStr"/>
      <c r="E67" s="33" t="inlineStr"/>
      <c r="F67" s="34" t="inlineStr"/>
      <c r="G67" s="35" t="inlineStr"/>
      <c r="H67" s="35" t="inlineStr"/>
      <c r="I67" s="21">
        <f>IF(AND(F67&lt;&gt;"",G67&lt;&gt;""),F67*G67,"")</f>
        <v/>
      </c>
      <c r="J67" s="21">
        <f>IF(AND(F67&lt;&gt;"",H67&lt;&gt;""),F67*H67,"")</f>
        <v/>
      </c>
      <c r="K67" s="36" t="inlineStr"/>
      <c r="L67" s="23">
        <f>IF(AND(I67&lt;&gt;"",J67&lt;&gt;""),J67-I67-IF(K67&lt;&gt;"",K67,0),"")</f>
        <v/>
      </c>
      <c r="M67" s="24">
        <f>IF(AND(L67&lt;&gt;"",I67&lt;&gt;"",I67&lt;&gt;0),L67/I67*100,"")</f>
        <v/>
      </c>
      <c r="N67" s="37" t="inlineStr"/>
      <c r="O67" s="38" t="inlineStr"/>
      <c r="P67" s="38" t="inlineStr"/>
      <c r="Q67" s="39" t="inlineStr"/>
      <c r="R67" s="40" t="inlineStr"/>
      <c r="S67" s="2" t="n"/>
    </row>
    <row r="68" ht="20" customHeight="1">
      <c r="A68" s="14" t="n">
        <v>65</v>
      </c>
      <c r="B68" s="15" t="inlineStr"/>
      <c r="C68" s="16" t="inlineStr"/>
      <c r="D68" s="17" t="inlineStr"/>
      <c r="E68" s="18" t="inlineStr"/>
      <c r="F68" s="19" t="inlineStr"/>
      <c r="G68" s="20" t="inlineStr"/>
      <c r="H68" s="20" t="inlineStr"/>
      <c r="I68" s="21">
        <f>IF(AND(F68&lt;&gt;"",G68&lt;&gt;""),F68*G68,"")</f>
        <v/>
      </c>
      <c r="J68" s="21">
        <f>IF(AND(F68&lt;&gt;"",H68&lt;&gt;""),F68*H68,"")</f>
        <v/>
      </c>
      <c r="K68" s="22" t="inlineStr"/>
      <c r="L68" s="23">
        <f>IF(AND(I68&lt;&gt;"",J68&lt;&gt;""),J68-I68-IF(K68&lt;&gt;"",K68,0),"")</f>
        <v/>
      </c>
      <c r="M68" s="24">
        <f>IF(AND(L68&lt;&gt;"",I68&lt;&gt;"",I68&lt;&gt;0),L68/I68*100,"")</f>
        <v/>
      </c>
      <c r="N68" s="25" t="inlineStr"/>
      <c r="O68" s="26" t="inlineStr"/>
      <c r="P68" s="26" t="inlineStr"/>
      <c r="Q68" s="27" t="inlineStr"/>
      <c r="R68" s="28" t="inlineStr"/>
      <c r="S68" s="2" t="n"/>
    </row>
    <row r="69" ht="20" customHeight="1">
      <c r="A69" s="29" t="n">
        <v>66</v>
      </c>
      <c r="B69" s="30" t="inlineStr"/>
      <c r="C69" s="31" t="inlineStr"/>
      <c r="D69" s="32" t="inlineStr"/>
      <c r="E69" s="33" t="inlineStr"/>
      <c r="F69" s="34" t="inlineStr"/>
      <c r="G69" s="35" t="inlineStr"/>
      <c r="H69" s="35" t="inlineStr"/>
      <c r="I69" s="21">
        <f>IF(AND(F69&lt;&gt;"",G69&lt;&gt;""),F69*G69,"")</f>
        <v/>
      </c>
      <c r="J69" s="21">
        <f>IF(AND(F69&lt;&gt;"",H69&lt;&gt;""),F69*H69,"")</f>
        <v/>
      </c>
      <c r="K69" s="36" t="inlineStr"/>
      <c r="L69" s="23">
        <f>IF(AND(I69&lt;&gt;"",J69&lt;&gt;""),J69-I69-IF(K69&lt;&gt;"",K69,0),"")</f>
        <v/>
      </c>
      <c r="M69" s="24">
        <f>IF(AND(L69&lt;&gt;"",I69&lt;&gt;"",I69&lt;&gt;0),L69/I69*100,"")</f>
        <v/>
      </c>
      <c r="N69" s="37" t="inlineStr"/>
      <c r="O69" s="38" t="inlineStr"/>
      <c r="P69" s="38" t="inlineStr"/>
      <c r="Q69" s="39" t="inlineStr"/>
      <c r="R69" s="40" t="inlineStr"/>
      <c r="S69" s="2" t="n"/>
    </row>
    <row r="70" ht="20" customHeight="1">
      <c r="A70" s="14" t="n">
        <v>67</v>
      </c>
      <c r="B70" s="15" t="inlineStr"/>
      <c r="C70" s="16" t="inlineStr"/>
      <c r="D70" s="17" t="inlineStr"/>
      <c r="E70" s="18" t="inlineStr"/>
      <c r="F70" s="19" t="inlineStr"/>
      <c r="G70" s="20" t="inlineStr"/>
      <c r="H70" s="20" t="inlineStr"/>
      <c r="I70" s="21">
        <f>IF(AND(F70&lt;&gt;"",G70&lt;&gt;""),F70*G70,"")</f>
        <v/>
      </c>
      <c r="J70" s="21">
        <f>IF(AND(F70&lt;&gt;"",H70&lt;&gt;""),F70*H70,"")</f>
        <v/>
      </c>
      <c r="K70" s="22" t="inlineStr"/>
      <c r="L70" s="23">
        <f>IF(AND(I70&lt;&gt;"",J70&lt;&gt;""),J70-I70-IF(K70&lt;&gt;"",K70,0),"")</f>
        <v/>
      </c>
      <c r="M70" s="24">
        <f>IF(AND(L70&lt;&gt;"",I70&lt;&gt;"",I70&lt;&gt;0),L70/I70*100,"")</f>
        <v/>
      </c>
      <c r="N70" s="25" t="inlineStr"/>
      <c r="O70" s="26" t="inlineStr"/>
      <c r="P70" s="26" t="inlineStr"/>
      <c r="Q70" s="27" t="inlineStr"/>
      <c r="R70" s="28" t="inlineStr"/>
      <c r="S70" s="2" t="n"/>
    </row>
    <row r="71" ht="20" customHeight="1">
      <c r="A71" s="29" t="n">
        <v>68</v>
      </c>
      <c r="B71" s="30" t="inlineStr"/>
      <c r="C71" s="31" t="inlineStr"/>
      <c r="D71" s="32" t="inlineStr"/>
      <c r="E71" s="33" t="inlineStr"/>
      <c r="F71" s="34" t="inlineStr"/>
      <c r="G71" s="35" t="inlineStr"/>
      <c r="H71" s="35" t="inlineStr"/>
      <c r="I71" s="21">
        <f>IF(AND(F71&lt;&gt;"",G71&lt;&gt;""),F71*G71,"")</f>
        <v/>
      </c>
      <c r="J71" s="21">
        <f>IF(AND(F71&lt;&gt;"",H71&lt;&gt;""),F71*H71,"")</f>
        <v/>
      </c>
      <c r="K71" s="36" t="inlineStr"/>
      <c r="L71" s="23">
        <f>IF(AND(I71&lt;&gt;"",J71&lt;&gt;""),J71-I71-IF(K71&lt;&gt;"",K71,0),"")</f>
        <v/>
      </c>
      <c r="M71" s="24">
        <f>IF(AND(L71&lt;&gt;"",I71&lt;&gt;"",I71&lt;&gt;0),L71/I71*100,"")</f>
        <v/>
      </c>
      <c r="N71" s="37" t="inlineStr"/>
      <c r="O71" s="38" t="inlineStr"/>
      <c r="P71" s="38" t="inlineStr"/>
      <c r="Q71" s="39" t="inlineStr"/>
      <c r="R71" s="40" t="inlineStr"/>
      <c r="S71" s="2" t="n"/>
    </row>
    <row r="72" ht="20" customHeight="1">
      <c r="A72" s="14" t="n">
        <v>69</v>
      </c>
      <c r="B72" s="15" t="inlineStr"/>
      <c r="C72" s="16" t="inlineStr"/>
      <c r="D72" s="17" t="inlineStr"/>
      <c r="E72" s="18" t="inlineStr"/>
      <c r="F72" s="19" t="inlineStr"/>
      <c r="G72" s="20" t="inlineStr"/>
      <c r="H72" s="20" t="inlineStr"/>
      <c r="I72" s="21">
        <f>IF(AND(F72&lt;&gt;"",G72&lt;&gt;""),F72*G72,"")</f>
        <v/>
      </c>
      <c r="J72" s="21">
        <f>IF(AND(F72&lt;&gt;"",H72&lt;&gt;""),F72*H72,"")</f>
        <v/>
      </c>
      <c r="K72" s="22" t="inlineStr"/>
      <c r="L72" s="23">
        <f>IF(AND(I72&lt;&gt;"",J72&lt;&gt;""),J72-I72-IF(K72&lt;&gt;"",K72,0),"")</f>
        <v/>
      </c>
      <c r="M72" s="24">
        <f>IF(AND(L72&lt;&gt;"",I72&lt;&gt;"",I72&lt;&gt;0),L72/I72*100,"")</f>
        <v/>
      </c>
      <c r="N72" s="25" t="inlineStr"/>
      <c r="O72" s="26" t="inlineStr"/>
      <c r="P72" s="26" t="inlineStr"/>
      <c r="Q72" s="27" t="inlineStr"/>
      <c r="R72" s="28" t="inlineStr"/>
      <c r="S72" s="2" t="n"/>
    </row>
    <row r="73" ht="20" customHeight="1">
      <c r="A73" s="29" t="n">
        <v>70</v>
      </c>
      <c r="B73" s="30" t="inlineStr"/>
      <c r="C73" s="31" t="inlineStr"/>
      <c r="D73" s="32" t="inlineStr"/>
      <c r="E73" s="33" t="inlineStr"/>
      <c r="F73" s="34" t="inlineStr"/>
      <c r="G73" s="35" t="inlineStr"/>
      <c r="H73" s="35" t="inlineStr"/>
      <c r="I73" s="21">
        <f>IF(AND(F73&lt;&gt;"",G73&lt;&gt;""),F73*G73,"")</f>
        <v/>
      </c>
      <c r="J73" s="21">
        <f>IF(AND(F73&lt;&gt;"",H73&lt;&gt;""),F73*H73,"")</f>
        <v/>
      </c>
      <c r="K73" s="36" t="inlineStr"/>
      <c r="L73" s="23">
        <f>IF(AND(I73&lt;&gt;"",J73&lt;&gt;""),J73-I73-IF(K73&lt;&gt;"",K73,0),"")</f>
        <v/>
      </c>
      <c r="M73" s="24">
        <f>IF(AND(L73&lt;&gt;"",I73&lt;&gt;"",I73&lt;&gt;0),L73/I73*100,"")</f>
        <v/>
      </c>
      <c r="N73" s="37" t="inlineStr"/>
      <c r="O73" s="38" t="inlineStr"/>
      <c r="P73" s="38" t="inlineStr"/>
      <c r="Q73" s="39" t="inlineStr"/>
      <c r="R73" s="40" t="inlineStr"/>
      <c r="S73" s="2" t="n"/>
    </row>
    <row r="74" ht="20" customHeight="1">
      <c r="A74" s="14" t="n">
        <v>71</v>
      </c>
      <c r="B74" s="15" t="inlineStr"/>
      <c r="C74" s="16" t="inlineStr"/>
      <c r="D74" s="17" t="inlineStr"/>
      <c r="E74" s="18" t="inlineStr"/>
      <c r="F74" s="19" t="inlineStr"/>
      <c r="G74" s="20" t="inlineStr"/>
      <c r="H74" s="20" t="inlineStr"/>
      <c r="I74" s="21">
        <f>IF(AND(F74&lt;&gt;"",G74&lt;&gt;""),F74*G74,"")</f>
        <v/>
      </c>
      <c r="J74" s="21">
        <f>IF(AND(F74&lt;&gt;"",H74&lt;&gt;""),F74*H74,"")</f>
        <v/>
      </c>
      <c r="K74" s="22" t="inlineStr"/>
      <c r="L74" s="23">
        <f>IF(AND(I74&lt;&gt;"",J74&lt;&gt;""),J74-I74-IF(K74&lt;&gt;"",K74,0),"")</f>
        <v/>
      </c>
      <c r="M74" s="24">
        <f>IF(AND(L74&lt;&gt;"",I74&lt;&gt;"",I74&lt;&gt;0),L74/I74*100,"")</f>
        <v/>
      </c>
      <c r="N74" s="25" t="inlineStr"/>
      <c r="O74" s="26" t="inlineStr"/>
      <c r="P74" s="26" t="inlineStr"/>
      <c r="Q74" s="27" t="inlineStr"/>
      <c r="R74" s="28" t="inlineStr"/>
      <c r="S74" s="2" t="n"/>
    </row>
    <row r="75" ht="20" customHeight="1">
      <c r="A75" s="29" t="n">
        <v>72</v>
      </c>
      <c r="B75" s="30" t="inlineStr"/>
      <c r="C75" s="31" t="inlineStr"/>
      <c r="D75" s="32" t="inlineStr"/>
      <c r="E75" s="33" t="inlineStr"/>
      <c r="F75" s="34" t="inlineStr"/>
      <c r="G75" s="35" t="inlineStr"/>
      <c r="H75" s="35" t="inlineStr"/>
      <c r="I75" s="21">
        <f>IF(AND(F75&lt;&gt;"",G75&lt;&gt;""),F75*G75,"")</f>
        <v/>
      </c>
      <c r="J75" s="21">
        <f>IF(AND(F75&lt;&gt;"",H75&lt;&gt;""),F75*H75,"")</f>
        <v/>
      </c>
      <c r="K75" s="36" t="inlineStr"/>
      <c r="L75" s="23">
        <f>IF(AND(I75&lt;&gt;"",J75&lt;&gt;""),J75-I75-IF(K75&lt;&gt;"",K75,0),"")</f>
        <v/>
      </c>
      <c r="M75" s="24">
        <f>IF(AND(L75&lt;&gt;"",I75&lt;&gt;"",I75&lt;&gt;0),L75/I75*100,"")</f>
        <v/>
      </c>
      <c r="N75" s="37" t="inlineStr"/>
      <c r="O75" s="38" t="inlineStr"/>
      <c r="P75" s="38" t="inlineStr"/>
      <c r="Q75" s="39" t="inlineStr"/>
      <c r="R75" s="40" t="inlineStr"/>
      <c r="S75" s="2" t="n"/>
    </row>
    <row r="76" ht="20" customHeight="1">
      <c r="A76" s="14" t="n">
        <v>73</v>
      </c>
      <c r="B76" s="15" t="inlineStr"/>
      <c r="C76" s="16" t="inlineStr"/>
      <c r="D76" s="17" t="inlineStr"/>
      <c r="E76" s="18" t="inlineStr"/>
      <c r="F76" s="19" t="inlineStr"/>
      <c r="G76" s="20" t="inlineStr"/>
      <c r="H76" s="20" t="inlineStr"/>
      <c r="I76" s="21">
        <f>IF(AND(F76&lt;&gt;"",G76&lt;&gt;""),F76*G76,"")</f>
        <v/>
      </c>
      <c r="J76" s="21">
        <f>IF(AND(F76&lt;&gt;"",H76&lt;&gt;""),F76*H76,"")</f>
        <v/>
      </c>
      <c r="K76" s="22" t="inlineStr"/>
      <c r="L76" s="23">
        <f>IF(AND(I76&lt;&gt;"",J76&lt;&gt;""),J76-I76-IF(K76&lt;&gt;"",K76,0),"")</f>
        <v/>
      </c>
      <c r="M76" s="24">
        <f>IF(AND(L76&lt;&gt;"",I76&lt;&gt;"",I76&lt;&gt;0),L76/I76*100,"")</f>
        <v/>
      </c>
      <c r="N76" s="25" t="inlineStr"/>
      <c r="O76" s="26" t="inlineStr"/>
      <c r="P76" s="26" t="inlineStr"/>
      <c r="Q76" s="27" t="inlineStr"/>
      <c r="R76" s="28" t="inlineStr"/>
      <c r="S76" s="2" t="n"/>
    </row>
    <row r="77" ht="20" customHeight="1">
      <c r="A77" s="29" t="n">
        <v>74</v>
      </c>
      <c r="B77" s="30" t="inlineStr"/>
      <c r="C77" s="31" t="inlineStr"/>
      <c r="D77" s="32" t="inlineStr"/>
      <c r="E77" s="33" t="inlineStr"/>
      <c r="F77" s="34" t="inlineStr"/>
      <c r="G77" s="35" t="inlineStr"/>
      <c r="H77" s="35" t="inlineStr"/>
      <c r="I77" s="21">
        <f>IF(AND(F77&lt;&gt;"",G77&lt;&gt;""),F77*G77,"")</f>
        <v/>
      </c>
      <c r="J77" s="21">
        <f>IF(AND(F77&lt;&gt;"",H77&lt;&gt;""),F77*H77,"")</f>
        <v/>
      </c>
      <c r="K77" s="36" t="inlineStr"/>
      <c r="L77" s="23">
        <f>IF(AND(I77&lt;&gt;"",J77&lt;&gt;""),J77-I77-IF(K77&lt;&gt;"",K77,0),"")</f>
        <v/>
      </c>
      <c r="M77" s="24">
        <f>IF(AND(L77&lt;&gt;"",I77&lt;&gt;"",I77&lt;&gt;0),L77/I77*100,"")</f>
        <v/>
      </c>
      <c r="N77" s="37" t="inlineStr"/>
      <c r="O77" s="38" t="inlineStr"/>
      <c r="P77" s="38" t="inlineStr"/>
      <c r="Q77" s="39" t="inlineStr"/>
      <c r="R77" s="40" t="inlineStr"/>
      <c r="S77" s="2" t="n"/>
    </row>
    <row r="78" ht="20" customHeight="1">
      <c r="A78" s="14" t="n">
        <v>75</v>
      </c>
      <c r="B78" s="15" t="inlineStr"/>
      <c r="C78" s="16" t="inlineStr"/>
      <c r="D78" s="17" t="inlineStr"/>
      <c r="E78" s="18" t="inlineStr"/>
      <c r="F78" s="19" t="inlineStr"/>
      <c r="G78" s="20" t="inlineStr"/>
      <c r="H78" s="20" t="inlineStr"/>
      <c r="I78" s="21">
        <f>IF(AND(F78&lt;&gt;"",G78&lt;&gt;""),F78*G78,"")</f>
        <v/>
      </c>
      <c r="J78" s="21">
        <f>IF(AND(F78&lt;&gt;"",H78&lt;&gt;""),F78*H78,"")</f>
        <v/>
      </c>
      <c r="K78" s="22" t="inlineStr"/>
      <c r="L78" s="23">
        <f>IF(AND(I78&lt;&gt;"",J78&lt;&gt;""),J78-I78-IF(K78&lt;&gt;"",K78,0),"")</f>
        <v/>
      </c>
      <c r="M78" s="24">
        <f>IF(AND(L78&lt;&gt;"",I78&lt;&gt;"",I78&lt;&gt;0),L78/I78*100,"")</f>
        <v/>
      </c>
      <c r="N78" s="25" t="inlineStr"/>
      <c r="O78" s="26" t="inlineStr"/>
      <c r="P78" s="26" t="inlineStr"/>
      <c r="Q78" s="27" t="inlineStr"/>
      <c r="R78" s="28" t="inlineStr"/>
      <c r="S78" s="2" t="n"/>
    </row>
    <row r="79" ht="20" customHeight="1">
      <c r="A79" s="29" t="n">
        <v>76</v>
      </c>
      <c r="B79" s="30" t="inlineStr"/>
      <c r="C79" s="31" t="inlineStr"/>
      <c r="D79" s="32" t="inlineStr"/>
      <c r="E79" s="33" t="inlineStr"/>
      <c r="F79" s="34" t="inlineStr"/>
      <c r="G79" s="35" t="inlineStr"/>
      <c r="H79" s="35" t="inlineStr"/>
      <c r="I79" s="21">
        <f>IF(AND(F79&lt;&gt;"",G79&lt;&gt;""),F79*G79,"")</f>
        <v/>
      </c>
      <c r="J79" s="21">
        <f>IF(AND(F79&lt;&gt;"",H79&lt;&gt;""),F79*H79,"")</f>
        <v/>
      </c>
      <c r="K79" s="36" t="inlineStr"/>
      <c r="L79" s="23">
        <f>IF(AND(I79&lt;&gt;"",J79&lt;&gt;""),J79-I79-IF(K79&lt;&gt;"",K79,0),"")</f>
        <v/>
      </c>
      <c r="M79" s="24">
        <f>IF(AND(L79&lt;&gt;"",I79&lt;&gt;"",I79&lt;&gt;0),L79/I79*100,"")</f>
        <v/>
      </c>
      <c r="N79" s="37" t="inlineStr"/>
      <c r="O79" s="38" t="inlineStr"/>
      <c r="P79" s="38" t="inlineStr"/>
      <c r="Q79" s="39" t="inlineStr"/>
      <c r="R79" s="40" t="inlineStr"/>
      <c r="S79" s="2" t="n"/>
    </row>
    <row r="80" ht="20" customHeight="1">
      <c r="A80" s="14" t="n">
        <v>77</v>
      </c>
      <c r="B80" s="15" t="inlineStr"/>
      <c r="C80" s="16" t="inlineStr"/>
      <c r="D80" s="17" t="inlineStr"/>
      <c r="E80" s="18" t="inlineStr"/>
      <c r="F80" s="19" t="inlineStr"/>
      <c r="G80" s="20" t="inlineStr"/>
      <c r="H80" s="20" t="inlineStr"/>
      <c r="I80" s="21">
        <f>IF(AND(F80&lt;&gt;"",G80&lt;&gt;""),F80*G80,"")</f>
        <v/>
      </c>
      <c r="J80" s="21">
        <f>IF(AND(F80&lt;&gt;"",H80&lt;&gt;""),F80*H80,"")</f>
        <v/>
      </c>
      <c r="K80" s="22" t="inlineStr"/>
      <c r="L80" s="23">
        <f>IF(AND(I80&lt;&gt;"",J80&lt;&gt;""),J80-I80-IF(K80&lt;&gt;"",K80,0),"")</f>
        <v/>
      </c>
      <c r="M80" s="24">
        <f>IF(AND(L80&lt;&gt;"",I80&lt;&gt;"",I80&lt;&gt;0),L80/I80*100,"")</f>
        <v/>
      </c>
      <c r="N80" s="25" t="inlineStr"/>
      <c r="O80" s="26" t="inlineStr"/>
      <c r="P80" s="26" t="inlineStr"/>
      <c r="Q80" s="27" t="inlineStr"/>
      <c r="R80" s="28" t="inlineStr"/>
      <c r="S80" s="2" t="n"/>
    </row>
    <row r="81" ht="20" customHeight="1">
      <c r="A81" s="29" t="n">
        <v>78</v>
      </c>
      <c r="B81" s="30" t="inlineStr"/>
      <c r="C81" s="31" t="inlineStr"/>
      <c r="D81" s="32" t="inlineStr"/>
      <c r="E81" s="33" t="inlineStr"/>
      <c r="F81" s="34" t="inlineStr"/>
      <c r="G81" s="35" t="inlineStr"/>
      <c r="H81" s="35" t="inlineStr"/>
      <c r="I81" s="21">
        <f>IF(AND(F81&lt;&gt;"",G81&lt;&gt;""),F81*G81,"")</f>
        <v/>
      </c>
      <c r="J81" s="21">
        <f>IF(AND(F81&lt;&gt;"",H81&lt;&gt;""),F81*H81,"")</f>
        <v/>
      </c>
      <c r="K81" s="36" t="inlineStr"/>
      <c r="L81" s="23">
        <f>IF(AND(I81&lt;&gt;"",J81&lt;&gt;""),J81-I81-IF(K81&lt;&gt;"",K81,0),"")</f>
        <v/>
      </c>
      <c r="M81" s="24">
        <f>IF(AND(L81&lt;&gt;"",I81&lt;&gt;"",I81&lt;&gt;0),L81/I81*100,"")</f>
        <v/>
      </c>
      <c r="N81" s="37" t="inlineStr"/>
      <c r="O81" s="38" t="inlineStr"/>
      <c r="P81" s="38" t="inlineStr"/>
      <c r="Q81" s="39" t="inlineStr"/>
      <c r="R81" s="40" t="inlineStr"/>
      <c r="S81" s="2" t="n"/>
    </row>
    <row r="82" ht="20" customHeight="1">
      <c r="A82" s="14" t="n">
        <v>79</v>
      </c>
      <c r="B82" s="15" t="inlineStr"/>
      <c r="C82" s="16" t="inlineStr"/>
      <c r="D82" s="17" t="inlineStr"/>
      <c r="E82" s="18" t="inlineStr"/>
      <c r="F82" s="19" t="inlineStr"/>
      <c r="G82" s="20" t="inlineStr"/>
      <c r="H82" s="20" t="inlineStr"/>
      <c r="I82" s="21">
        <f>IF(AND(F82&lt;&gt;"",G82&lt;&gt;""),F82*G82,"")</f>
        <v/>
      </c>
      <c r="J82" s="21">
        <f>IF(AND(F82&lt;&gt;"",H82&lt;&gt;""),F82*H82,"")</f>
        <v/>
      </c>
      <c r="K82" s="22" t="inlineStr"/>
      <c r="L82" s="23">
        <f>IF(AND(I82&lt;&gt;"",J82&lt;&gt;""),J82-I82-IF(K82&lt;&gt;"",K82,0),"")</f>
        <v/>
      </c>
      <c r="M82" s="24">
        <f>IF(AND(L82&lt;&gt;"",I82&lt;&gt;"",I82&lt;&gt;0),L82/I82*100,"")</f>
        <v/>
      </c>
      <c r="N82" s="25" t="inlineStr"/>
      <c r="O82" s="26" t="inlineStr"/>
      <c r="P82" s="26" t="inlineStr"/>
      <c r="Q82" s="27" t="inlineStr"/>
      <c r="R82" s="28" t="inlineStr"/>
      <c r="S82" s="2" t="n"/>
    </row>
    <row r="83" ht="20" customHeight="1">
      <c r="A83" s="29" t="n">
        <v>80</v>
      </c>
      <c r="B83" s="30" t="inlineStr"/>
      <c r="C83" s="31" t="inlineStr"/>
      <c r="D83" s="32" t="inlineStr"/>
      <c r="E83" s="33" t="inlineStr"/>
      <c r="F83" s="34" t="inlineStr"/>
      <c r="G83" s="35" t="inlineStr"/>
      <c r="H83" s="35" t="inlineStr"/>
      <c r="I83" s="21">
        <f>IF(AND(F83&lt;&gt;"",G83&lt;&gt;""),F83*G83,"")</f>
        <v/>
      </c>
      <c r="J83" s="21">
        <f>IF(AND(F83&lt;&gt;"",H83&lt;&gt;""),F83*H83,"")</f>
        <v/>
      </c>
      <c r="K83" s="36" t="inlineStr"/>
      <c r="L83" s="23">
        <f>IF(AND(I83&lt;&gt;"",J83&lt;&gt;""),J83-I83-IF(K83&lt;&gt;"",K83,0),"")</f>
        <v/>
      </c>
      <c r="M83" s="24">
        <f>IF(AND(L83&lt;&gt;"",I83&lt;&gt;"",I83&lt;&gt;0),L83/I83*100,"")</f>
        <v/>
      </c>
      <c r="N83" s="37" t="inlineStr"/>
      <c r="O83" s="38" t="inlineStr"/>
      <c r="P83" s="38" t="inlineStr"/>
      <c r="Q83" s="39" t="inlineStr"/>
      <c r="R83" s="40" t="inlineStr"/>
      <c r="S83" s="2" t="n"/>
    </row>
    <row r="84" ht="20" customHeight="1">
      <c r="A84" s="14" t="n">
        <v>81</v>
      </c>
      <c r="B84" s="15" t="inlineStr"/>
      <c r="C84" s="16" t="inlineStr"/>
      <c r="D84" s="17" t="inlineStr"/>
      <c r="E84" s="18" t="inlineStr"/>
      <c r="F84" s="19" t="inlineStr"/>
      <c r="G84" s="20" t="inlineStr"/>
      <c r="H84" s="20" t="inlineStr"/>
      <c r="I84" s="21">
        <f>IF(AND(F84&lt;&gt;"",G84&lt;&gt;""),F84*G84,"")</f>
        <v/>
      </c>
      <c r="J84" s="21">
        <f>IF(AND(F84&lt;&gt;"",H84&lt;&gt;""),F84*H84,"")</f>
        <v/>
      </c>
      <c r="K84" s="22" t="inlineStr"/>
      <c r="L84" s="23">
        <f>IF(AND(I84&lt;&gt;"",J84&lt;&gt;""),J84-I84-IF(K84&lt;&gt;"",K84,0),"")</f>
        <v/>
      </c>
      <c r="M84" s="24">
        <f>IF(AND(L84&lt;&gt;"",I84&lt;&gt;"",I84&lt;&gt;0),L84/I84*100,"")</f>
        <v/>
      </c>
      <c r="N84" s="25" t="inlineStr"/>
      <c r="O84" s="26" t="inlineStr"/>
      <c r="P84" s="26" t="inlineStr"/>
      <c r="Q84" s="27" t="inlineStr"/>
      <c r="R84" s="28" t="inlineStr"/>
      <c r="S84" s="2" t="n"/>
    </row>
    <row r="85" ht="20" customHeight="1">
      <c r="A85" s="29" t="n">
        <v>82</v>
      </c>
      <c r="B85" s="30" t="inlineStr"/>
      <c r="C85" s="31" t="inlineStr"/>
      <c r="D85" s="32" t="inlineStr"/>
      <c r="E85" s="33" t="inlineStr"/>
      <c r="F85" s="34" t="inlineStr"/>
      <c r="G85" s="35" t="inlineStr"/>
      <c r="H85" s="35" t="inlineStr"/>
      <c r="I85" s="21">
        <f>IF(AND(F85&lt;&gt;"",G85&lt;&gt;""),F85*G85,"")</f>
        <v/>
      </c>
      <c r="J85" s="21">
        <f>IF(AND(F85&lt;&gt;"",H85&lt;&gt;""),F85*H85,"")</f>
        <v/>
      </c>
      <c r="K85" s="36" t="inlineStr"/>
      <c r="L85" s="23">
        <f>IF(AND(I85&lt;&gt;"",J85&lt;&gt;""),J85-I85-IF(K85&lt;&gt;"",K85,0),"")</f>
        <v/>
      </c>
      <c r="M85" s="24">
        <f>IF(AND(L85&lt;&gt;"",I85&lt;&gt;"",I85&lt;&gt;0),L85/I85*100,"")</f>
        <v/>
      </c>
      <c r="N85" s="37" t="inlineStr"/>
      <c r="O85" s="38" t="inlineStr"/>
      <c r="P85" s="38" t="inlineStr"/>
      <c r="Q85" s="39" t="inlineStr"/>
      <c r="R85" s="40" t="inlineStr"/>
      <c r="S85" s="2" t="n"/>
    </row>
    <row r="86" ht="20" customHeight="1">
      <c r="A86" s="14" t="n">
        <v>83</v>
      </c>
      <c r="B86" s="15" t="inlineStr"/>
      <c r="C86" s="16" t="inlineStr"/>
      <c r="D86" s="17" t="inlineStr"/>
      <c r="E86" s="18" t="inlineStr"/>
      <c r="F86" s="19" t="inlineStr"/>
      <c r="G86" s="20" t="inlineStr"/>
      <c r="H86" s="20" t="inlineStr"/>
      <c r="I86" s="21">
        <f>IF(AND(F86&lt;&gt;"",G86&lt;&gt;""),F86*G86,"")</f>
        <v/>
      </c>
      <c r="J86" s="21">
        <f>IF(AND(F86&lt;&gt;"",H86&lt;&gt;""),F86*H86,"")</f>
        <v/>
      </c>
      <c r="K86" s="22" t="inlineStr"/>
      <c r="L86" s="23">
        <f>IF(AND(I86&lt;&gt;"",J86&lt;&gt;""),J86-I86-IF(K86&lt;&gt;"",K86,0),"")</f>
        <v/>
      </c>
      <c r="M86" s="24">
        <f>IF(AND(L86&lt;&gt;"",I86&lt;&gt;"",I86&lt;&gt;0),L86/I86*100,"")</f>
        <v/>
      </c>
      <c r="N86" s="25" t="inlineStr"/>
      <c r="O86" s="26" t="inlineStr"/>
      <c r="P86" s="26" t="inlineStr"/>
      <c r="Q86" s="27" t="inlineStr"/>
      <c r="R86" s="28" t="inlineStr"/>
      <c r="S86" s="2" t="n"/>
    </row>
    <row r="87" ht="20" customHeight="1">
      <c r="A87" s="29" t="n">
        <v>84</v>
      </c>
      <c r="B87" s="30" t="inlineStr"/>
      <c r="C87" s="31" t="inlineStr"/>
      <c r="D87" s="32" t="inlineStr"/>
      <c r="E87" s="33" t="inlineStr"/>
      <c r="F87" s="34" t="inlineStr"/>
      <c r="G87" s="35" t="inlineStr"/>
      <c r="H87" s="35" t="inlineStr"/>
      <c r="I87" s="21">
        <f>IF(AND(F87&lt;&gt;"",G87&lt;&gt;""),F87*G87,"")</f>
        <v/>
      </c>
      <c r="J87" s="21">
        <f>IF(AND(F87&lt;&gt;"",H87&lt;&gt;""),F87*H87,"")</f>
        <v/>
      </c>
      <c r="K87" s="36" t="inlineStr"/>
      <c r="L87" s="23">
        <f>IF(AND(I87&lt;&gt;"",J87&lt;&gt;""),J87-I87-IF(K87&lt;&gt;"",K87,0),"")</f>
        <v/>
      </c>
      <c r="M87" s="24">
        <f>IF(AND(L87&lt;&gt;"",I87&lt;&gt;"",I87&lt;&gt;0),L87/I87*100,"")</f>
        <v/>
      </c>
      <c r="N87" s="37" t="inlineStr"/>
      <c r="O87" s="38" t="inlineStr"/>
      <c r="P87" s="38" t="inlineStr"/>
      <c r="Q87" s="39" t="inlineStr"/>
      <c r="R87" s="40" t="inlineStr"/>
      <c r="S87" s="2" t="n"/>
    </row>
    <row r="88" ht="20" customHeight="1">
      <c r="A88" s="14" t="n">
        <v>85</v>
      </c>
      <c r="B88" s="15" t="inlineStr"/>
      <c r="C88" s="16" t="inlineStr"/>
      <c r="D88" s="17" t="inlineStr"/>
      <c r="E88" s="18" t="inlineStr"/>
      <c r="F88" s="19" t="inlineStr"/>
      <c r="G88" s="20" t="inlineStr"/>
      <c r="H88" s="20" t="inlineStr"/>
      <c r="I88" s="21">
        <f>IF(AND(F88&lt;&gt;"",G88&lt;&gt;""),F88*G88,"")</f>
        <v/>
      </c>
      <c r="J88" s="21">
        <f>IF(AND(F88&lt;&gt;"",H88&lt;&gt;""),F88*H88,"")</f>
        <v/>
      </c>
      <c r="K88" s="22" t="inlineStr"/>
      <c r="L88" s="23">
        <f>IF(AND(I88&lt;&gt;"",J88&lt;&gt;""),J88-I88-IF(K88&lt;&gt;"",K88,0),"")</f>
        <v/>
      </c>
      <c r="M88" s="24">
        <f>IF(AND(L88&lt;&gt;"",I88&lt;&gt;"",I88&lt;&gt;0),L88/I88*100,"")</f>
        <v/>
      </c>
      <c r="N88" s="25" t="inlineStr"/>
      <c r="O88" s="26" t="inlineStr"/>
      <c r="P88" s="26" t="inlineStr"/>
      <c r="Q88" s="27" t="inlineStr"/>
      <c r="R88" s="28" t="inlineStr"/>
      <c r="S88" s="2" t="n"/>
    </row>
    <row r="89" ht="20" customHeight="1">
      <c r="A89" s="29" t="n">
        <v>86</v>
      </c>
      <c r="B89" s="30" t="inlineStr"/>
      <c r="C89" s="31" t="inlineStr"/>
      <c r="D89" s="32" t="inlineStr"/>
      <c r="E89" s="33" t="inlineStr"/>
      <c r="F89" s="34" t="inlineStr"/>
      <c r="G89" s="35" t="inlineStr"/>
      <c r="H89" s="35" t="inlineStr"/>
      <c r="I89" s="21">
        <f>IF(AND(F89&lt;&gt;"",G89&lt;&gt;""),F89*G89,"")</f>
        <v/>
      </c>
      <c r="J89" s="21">
        <f>IF(AND(F89&lt;&gt;"",H89&lt;&gt;""),F89*H89,"")</f>
        <v/>
      </c>
      <c r="K89" s="36" t="inlineStr"/>
      <c r="L89" s="23">
        <f>IF(AND(I89&lt;&gt;"",J89&lt;&gt;""),J89-I89-IF(K89&lt;&gt;"",K89,0),"")</f>
        <v/>
      </c>
      <c r="M89" s="24">
        <f>IF(AND(L89&lt;&gt;"",I89&lt;&gt;"",I89&lt;&gt;0),L89/I89*100,"")</f>
        <v/>
      </c>
      <c r="N89" s="37" t="inlineStr"/>
      <c r="O89" s="38" t="inlineStr"/>
      <c r="P89" s="38" t="inlineStr"/>
      <c r="Q89" s="39" t="inlineStr"/>
      <c r="R89" s="40" t="inlineStr"/>
      <c r="S89" s="2" t="n"/>
    </row>
    <row r="90" ht="20" customHeight="1">
      <c r="A90" s="14" t="n">
        <v>87</v>
      </c>
      <c r="B90" s="15" t="inlineStr"/>
      <c r="C90" s="16" t="inlineStr"/>
      <c r="D90" s="17" t="inlineStr"/>
      <c r="E90" s="18" t="inlineStr"/>
      <c r="F90" s="19" t="inlineStr"/>
      <c r="G90" s="20" t="inlineStr"/>
      <c r="H90" s="20" t="inlineStr"/>
      <c r="I90" s="21">
        <f>IF(AND(F90&lt;&gt;"",G90&lt;&gt;""),F90*G90,"")</f>
        <v/>
      </c>
      <c r="J90" s="21">
        <f>IF(AND(F90&lt;&gt;"",H90&lt;&gt;""),F90*H90,"")</f>
        <v/>
      </c>
      <c r="K90" s="22" t="inlineStr"/>
      <c r="L90" s="23">
        <f>IF(AND(I90&lt;&gt;"",J90&lt;&gt;""),J90-I90-IF(K90&lt;&gt;"",K90,0),"")</f>
        <v/>
      </c>
      <c r="M90" s="24">
        <f>IF(AND(L90&lt;&gt;"",I90&lt;&gt;"",I90&lt;&gt;0),L90/I90*100,"")</f>
        <v/>
      </c>
      <c r="N90" s="25" t="inlineStr"/>
      <c r="O90" s="26" t="inlineStr"/>
      <c r="P90" s="26" t="inlineStr"/>
      <c r="Q90" s="27" t="inlineStr"/>
      <c r="R90" s="28" t="inlineStr"/>
      <c r="S90" s="2" t="n"/>
    </row>
    <row r="91" ht="20" customHeight="1">
      <c r="A91" s="29" t="n">
        <v>88</v>
      </c>
      <c r="B91" s="30" t="inlineStr"/>
      <c r="C91" s="31" t="inlineStr"/>
      <c r="D91" s="32" t="inlineStr"/>
      <c r="E91" s="33" t="inlineStr"/>
      <c r="F91" s="34" t="inlineStr"/>
      <c r="G91" s="35" t="inlineStr"/>
      <c r="H91" s="35" t="inlineStr"/>
      <c r="I91" s="21">
        <f>IF(AND(F91&lt;&gt;"",G91&lt;&gt;""),F91*G91,"")</f>
        <v/>
      </c>
      <c r="J91" s="21">
        <f>IF(AND(F91&lt;&gt;"",H91&lt;&gt;""),F91*H91,"")</f>
        <v/>
      </c>
      <c r="K91" s="36" t="inlineStr"/>
      <c r="L91" s="23">
        <f>IF(AND(I91&lt;&gt;"",J91&lt;&gt;""),J91-I91-IF(K91&lt;&gt;"",K91,0),"")</f>
        <v/>
      </c>
      <c r="M91" s="24">
        <f>IF(AND(L91&lt;&gt;"",I91&lt;&gt;"",I91&lt;&gt;0),L91/I91*100,"")</f>
        <v/>
      </c>
      <c r="N91" s="37" t="inlineStr"/>
      <c r="O91" s="38" t="inlineStr"/>
      <c r="P91" s="38" t="inlineStr"/>
      <c r="Q91" s="39" t="inlineStr"/>
      <c r="R91" s="40" t="inlineStr"/>
      <c r="S91" s="2" t="n"/>
    </row>
    <row r="92" ht="20" customHeight="1">
      <c r="A92" s="14" t="n">
        <v>89</v>
      </c>
      <c r="B92" s="15" t="inlineStr"/>
      <c r="C92" s="16" t="inlineStr"/>
      <c r="D92" s="17" t="inlineStr"/>
      <c r="E92" s="18" t="inlineStr"/>
      <c r="F92" s="19" t="inlineStr"/>
      <c r="G92" s="20" t="inlineStr"/>
      <c r="H92" s="20" t="inlineStr"/>
      <c r="I92" s="21">
        <f>IF(AND(F92&lt;&gt;"",G92&lt;&gt;""),F92*G92,"")</f>
        <v/>
      </c>
      <c r="J92" s="21">
        <f>IF(AND(F92&lt;&gt;"",H92&lt;&gt;""),F92*H92,"")</f>
        <v/>
      </c>
      <c r="K92" s="22" t="inlineStr"/>
      <c r="L92" s="23">
        <f>IF(AND(I92&lt;&gt;"",J92&lt;&gt;""),J92-I92-IF(K92&lt;&gt;"",K92,0),"")</f>
        <v/>
      </c>
      <c r="M92" s="24">
        <f>IF(AND(L92&lt;&gt;"",I92&lt;&gt;"",I92&lt;&gt;0),L92/I92*100,"")</f>
        <v/>
      </c>
      <c r="N92" s="25" t="inlineStr"/>
      <c r="O92" s="26" t="inlineStr"/>
      <c r="P92" s="26" t="inlineStr"/>
      <c r="Q92" s="27" t="inlineStr"/>
      <c r="R92" s="28" t="inlineStr"/>
      <c r="S92" s="2" t="n"/>
    </row>
    <row r="93" ht="20" customHeight="1">
      <c r="A93" s="29" t="n">
        <v>90</v>
      </c>
      <c r="B93" s="30" t="inlineStr"/>
      <c r="C93" s="31" t="inlineStr"/>
      <c r="D93" s="32" t="inlineStr"/>
      <c r="E93" s="33" t="inlineStr"/>
      <c r="F93" s="34" t="inlineStr"/>
      <c r="G93" s="35" t="inlineStr"/>
      <c r="H93" s="35" t="inlineStr"/>
      <c r="I93" s="21">
        <f>IF(AND(F93&lt;&gt;"",G93&lt;&gt;""),F93*G93,"")</f>
        <v/>
      </c>
      <c r="J93" s="21">
        <f>IF(AND(F93&lt;&gt;"",H93&lt;&gt;""),F93*H93,"")</f>
        <v/>
      </c>
      <c r="K93" s="36" t="inlineStr"/>
      <c r="L93" s="23">
        <f>IF(AND(I93&lt;&gt;"",J93&lt;&gt;""),J93-I93-IF(K93&lt;&gt;"",K93,0),"")</f>
        <v/>
      </c>
      <c r="M93" s="24">
        <f>IF(AND(L93&lt;&gt;"",I93&lt;&gt;"",I93&lt;&gt;0),L93/I93*100,"")</f>
        <v/>
      </c>
      <c r="N93" s="37" t="inlineStr"/>
      <c r="O93" s="38" t="inlineStr"/>
      <c r="P93" s="38" t="inlineStr"/>
      <c r="Q93" s="39" t="inlineStr"/>
      <c r="R93" s="40" t="inlineStr"/>
      <c r="S93" s="2" t="n"/>
    </row>
    <row r="94" ht="20" customHeight="1">
      <c r="A94" s="14" t="n">
        <v>91</v>
      </c>
      <c r="B94" s="15" t="inlineStr"/>
      <c r="C94" s="16" t="inlineStr"/>
      <c r="D94" s="17" t="inlineStr"/>
      <c r="E94" s="18" t="inlineStr"/>
      <c r="F94" s="19" t="inlineStr"/>
      <c r="G94" s="20" t="inlineStr"/>
      <c r="H94" s="20" t="inlineStr"/>
      <c r="I94" s="21">
        <f>IF(AND(F94&lt;&gt;"",G94&lt;&gt;""),F94*G94,"")</f>
        <v/>
      </c>
      <c r="J94" s="21">
        <f>IF(AND(F94&lt;&gt;"",H94&lt;&gt;""),F94*H94,"")</f>
        <v/>
      </c>
      <c r="K94" s="22" t="inlineStr"/>
      <c r="L94" s="23">
        <f>IF(AND(I94&lt;&gt;"",J94&lt;&gt;""),J94-I94-IF(K94&lt;&gt;"",K94,0),"")</f>
        <v/>
      </c>
      <c r="M94" s="24">
        <f>IF(AND(L94&lt;&gt;"",I94&lt;&gt;"",I94&lt;&gt;0),L94/I94*100,"")</f>
        <v/>
      </c>
      <c r="N94" s="25" t="inlineStr"/>
      <c r="O94" s="26" t="inlineStr"/>
      <c r="P94" s="26" t="inlineStr"/>
      <c r="Q94" s="27" t="inlineStr"/>
      <c r="R94" s="28" t="inlineStr"/>
      <c r="S94" s="2" t="n"/>
    </row>
    <row r="95" ht="20" customHeight="1">
      <c r="A95" s="29" t="n">
        <v>92</v>
      </c>
      <c r="B95" s="30" t="inlineStr"/>
      <c r="C95" s="31" t="inlineStr"/>
      <c r="D95" s="32" t="inlineStr"/>
      <c r="E95" s="33" t="inlineStr"/>
      <c r="F95" s="34" t="inlineStr"/>
      <c r="G95" s="35" t="inlineStr"/>
      <c r="H95" s="35" t="inlineStr"/>
      <c r="I95" s="21">
        <f>IF(AND(F95&lt;&gt;"",G95&lt;&gt;""),F95*G95,"")</f>
        <v/>
      </c>
      <c r="J95" s="21">
        <f>IF(AND(F95&lt;&gt;"",H95&lt;&gt;""),F95*H95,"")</f>
        <v/>
      </c>
      <c r="K95" s="36" t="inlineStr"/>
      <c r="L95" s="23">
        <f>IF(AND(I95&lt;&gt;"",J95&lt;&gt;""),J95-I95-IF(K95&lt;&gt;"",K95,0),"")</f>
        <v/>
      </c>
      <c r="M95" s="24">
        <f>IF(AND(L95&lt;&gt;"",I95&lt;&gt;"",I95&lt;&gt;0),L95/I95*100,"")</f>
        <v/>
      </c>
      <c r="N95" s="37" t="inlineStr"/>
      <c r="O95" s="38" t="inlineStr"/>
      <c r="P95" s="38" t="inlineStr"/>
      <c r="Q95" s="39" t="inlineStr"/>
      <c r="R95" s="40" t="inlineStr"/>
      <c r="S95" s="2" t="n"/>
    </row>
    <row r="96" ht="20" customHeight="1">
      <c r="A96" s="14" t="n">
        <v>93</v>
      </c>
      <c r="B96" s="15" t="inlineStr"/>
      <c r="C96" s="16" t="inlineStr"/>
      <c r="D96" s="17" t="inlineStr"/>
      <c r="E96" s="18" t="inlineStr"/>
      <c r="F96" s="19" t="inlineStr"/>
      <c r="G96" s="20" t="inlineStr"/>
      <c r="H96" s="20" t="inlineStr"/>
      <c r="I96" s="21">
        <f>IF(AND(F96&lt;&gt;"",G96&lt;&gt;""),F96*G96,"")</f>
        <v/>
      </c>
      <c r="J96" s="21">
        <f>IF(AND(F96&lt;&gt;"",H96&lt;&gt;""),F96*H96,"")</f>
        <v/>
      </c>
      <c r="K96" s="22" t="inlineStr"/>
      <c r="L96" s="23">
        <f>IF(AND(I96&lt;&gt;"",J96&lt;&gt;""),J96-I96-IF(K96&lt;&gt;"",K96,0),"")</f>
        <v/>
      </c>
      <c r="M96" s="24">
        <f>IF(AND(L96&lt;&gt;"",I96&lt;&gt;"",I96&lt;&gt;0),L96/I96*100,"")</f>
        <v/>
      </c>
      <c r="N96" s="25" t="inlineStr"/>
      <c r="O96" s="26" t="inlineStr"/>
      <c r="P96" s="26" t="inlineStr"/>
      <c r="Q96" s="27" t="inlineStr"/>
      <c r="R96" s="28" t="inlineStr"/>
      <c r="S96" s="2" t="n"/>
    </row>
    <row r="97" ht="20" customHeight="1">
      <c r="A97" s="29" t="n">
        <v>94</v>
      </c>
      <c r="B97" s="30" t="inlineStr"/>
      <c r="C97" s="31" t="inlineStr"/>
      <c r="D97" s="32" t="inlineStr"/>
      <c r="E97" s="33" t="inlineStr"/>
      <c r="F97" s="34" t="inlineStr"/>
      <c r="G97" s="35" t="inlineStr"/>
      <c r="H97" s="35" t="inlineStr"/>
      <c r="I97" s="21">
        <f>IF(AND(F97&lt;&gt;"",G97&lt;&gt;""),F97*G97,"")</f>
        <v/>
      </c>
      <c r="J97" s="21">
        <f>IF(AND(F97&lt;&gt;"",H97&lt;&gt;""),F97*H97,"")</f>
        <v/>
      </c>
      <c r="K97" s="36" t="inlineStr"/>
      <c r="L97" s="23">
        <f>IF(AND(I97&lt;&gt;"",J97&lt;&gt;""),J97-I97-IF(K97&lt;&gt;"",K97,0),"")</f>
        <v/>
      </c>
      <c r="M97" s="24">
        <f>IF(AND(L97&lt;&gt;"",I97&lt;&gt;"",I97&lt;&gt;0),L97/I97*100,"")</f>
        <v/>
      </c>
      <c r="N97" s="37" t="inlineStr"/>
      <c r="O97" s="38" t="inlineStr"/>
      <c r="P97" s="38" t="inlineStr"/>
      <c r="Q97" s="39" t="inlineStr"/>
      <c r="R97" s="40" t="inlineStr"/>
      <c r="S97" s="2" t="n"/>
    </row>
    <row r="98" ht="20" customHeight="1">
      <c r="A98" s="14" t="n">
        <v>95</v>
      </c>
      <c r="B98" s="15" t="inlineStr"/>
      <c r="C98" s="16" t="inlineStr"/>
      <c r="D98" s="17" t="inlineStr"/>
      <c r="E98" s="18" t="inlineStr"/>
      <c r="F98" s="19" t="inlineStr"/>
      <c r="G98" s="20" t="inlineStr"/>
      <c r="H98" s="20" t="inlineStr"/>
      <c r="I98" s="21">
        <f>IF(AND(F98&lt;&gt;"",G98&lt;&gt;""),F98*G98,"")</f>
        <v/>
      </c>
      <c r="J98" s="21">
        <f>IF(AND(F98&lt;&gt;"",H98&lt;&gt;""),F98*H98,"")</f>
        <v/>
      </c>
      <c r="K98" s="22" t="inlineStr"/>
      <c r="L98" s="23">
        <f>IF(AND(I98&lt;&gt;"",J98&lt;&gt;""),J98-I98-IF(K98&lt;&gt;"",K98,0),"")</f>
        <v/>
      </c>
      <c r="M98" s="24">
        <f>IF(AND(L98&lt;&gt;"",I98&lt;&gt;"",I98&lt;&gt;0),L98/I98*100,"")</f>
        <v/>
      </c>
      <c r="N98" s="25" t="inlineStr"/>
      <c r="O98" s="26" t="inlineStr"/>
      <c r="P98" s="26" t="inlineStr"/>
      <c r="Q98" s="27" t="inlineStr"/>
      <c r="R98" s="28" t="inlineStr"/>
      <c r="S98" s="2" t="n"/>
    </row>
    <row r="99" ht="20" customHeight="1">
      <c r="A99" s="29" t="n">
        <v>96</v>
      </c>
      <c r="B99" s="30" t="inlineStr"/>
      <c r="C99" s="31" t="inlineStr"/>
      <c r="D99" s="32" t="inlineStr"/>
      <c r="E99" s="33" t="inlineStr"/>
      <c r="F99" s="34" t="inlineStr"/>
      <c r="G99" s="35" t="inlineStr"/>
      <c r="H99" s="35" t="inlineStr"/>
      <c r="I99" s="21">
        <f>IF(AND(F99&lt;&gt;"",G99&lt;&gt;""),F99*G99,"")</f>
        <v/>
      </c>
      <c r="J99" s="21">
        <f>IF(AND(F99&lt;&gt;"",H99&lt;&gt;""),F99*H99,"")</f>
        <v/>
      </c>
      <c r="K99" s="36" t="inlineStr"/>
      <c r="L99" s="23">
        <f>IF(AND(I99&lt;&gt;"",J99&lt;&gt;""),J99-I99-IF(K99&lt;&gt;"",K99,0),"")</f>
        <v/>
      </c>
      <c r="M99" s="24">
        <f>IF(AND(L99&lt;&gt;"",I99&lt;&gt;"",I99&lt;&gt;0),L99/I99*100,"")</f>
        <v/>
      </c>
      <c r="N99" s="37" t="inlineStr"/>
      <c r="O99" s="38" t="inlineStr"/>
      <c r="P99" s="38" t="inlineStr"/>
      <c r="Q99" s="39" t="inlineStr"/>
      <c r="R99" s="40" t="inlineStr"/>
      <c r="S99" s="2" t="n"/>
    </row>
    <row r="100" ht="20" customHeight="1">
      <c r="A100" s="14" t="n">
        <v>97</v>
      </c>
      <c r="B100" s="15" t="inlineStr"/>
      <c r="C100" s="16" t="inlineStr"/>
      <c r="D100" s="17" t="inlineStr"/>
      <c r="E100" s="18" t="inlineStr"/>
      <c r="F100" s="19" t="inlineStr"/>
      <c r="G100" s="20" t="inlineStr"/>
      <c r="H100" s="20" t="inlineStr"/>
      <c r="I100" s="21">
        <f>IF(AND(F100&lt;&gt;"",G100&lt;&gt;""),F100*G100,"")</f>
        <v/>
      </c>
      <c r="J100" s="21">
        <f>IF(AND(F100&lt;&gt;"",H100&lt;&gt;""),F100*H100,"")</f>
        <v/>
      </c>
      <c r="K100" s="22" t="inlineStr"/>
      <c r="L100" s="23">
        <f>IF(AND(I100&lt;&gt;"",J100&lt;&gt;""),J100-I100-IF(K100&lt;&gt;"",K100,0),"")</f>
        <v/>
      </c>
      <c r="M100" s="24">
        <f>IF(AND(L100&lt;&gt;"",I100&lt;&gt;"",I100&lt;&gt;0),L100/I100*100,"")</f>
        <v/>
      </c>
      <c r="N100" s="25" t="inlineStr"/>
      <c r="O100" s="26" t="inlineStr"/>
      <c r="P100" s="26" t="inlineStr"/>
      <c r="Q100" s="27" t="inlineStr"/>
      <c r="R100" s="28" t="inlineStr"/>
      <c r="S100" s="2" t="n"/>
    </row>
    <row r="101" ht="20" customHeight="1">
      <c r="A101" s="29" t="n">
        <v>98</v>
      </c>
      <c r="B101" s="30" t="inlineStr"/>
      <c r="C101" s="31" t="inlineStr"/>
      <c r="D101" s="32" t="inlineStr"/>
      <c r="E101" s="33" t="inlineStr"/>
      <c r="F101" s="34" t="inlineStr"/>
      <c r="G101" s="35" t="inlineStr"/>
      <c r="H101" s="35" t="inlineStr"/>
      <c r="I101" s="21">
        <f>IF(AND(F101&lt;&gt;"",G101&lt;&gt;""),F101*G101,"")</f>
        <v/>
      </c>
      <c r="J101" s="21">
        <f>IF(AND(F101&lt;&gt;"",H101&lt;&gt;""),F101*H101,"")</f>
        <v/>
      </c>
      <c r="K101" s="36" t="inlineStr"/>
      <c r="L101" s="23">
        <f>IF(AND(I101&lt;&gt;"",J101&lt;&gt;""),J101-I101-IF(K101&lt;&gt;"",K101,0),"")</f>
        <v/>
      </c>
      <c r="M101" s="24">
        <f>IF(AND(L101&lt;&gt;"",I101&lt;&gt;"",I101&lt;&gt;0),L101/I101*100,"")</f>
        <v/>
      </c>
      <c r="N101" s="37" t="inlineStr"/>
      <c r="O101" s="38" t="inlineStr"/>
      <c r="P101" s="38" t="inlineStr"/>
      <c r="Q101" s="39" t="inlineStr"/>
      <c r="R101" s="40" t="inlineStr"/>
      <c r="S101" s="2" t="n"/>
    </row>
    <row r="102" ht="20" customHeight="1">
      <c r="A102" s="14" t="n">
        <v>99</v>
      </c>
      <c r="B102" s="15" t="inlineStr"/>
      <c r="C102" s="16" t="inlineStr"/>
      <c r="D102" s="17" t="inlineStr"/>
      <c r="E102" s="18" t="inlineStr"/>
      <c r="F102" s="19" t="inlineStr"/>
      <c r="G102" s="20" t="inlineStr"/>
      <c r="H102" s="20" t="inlineStr"/>
      <c r="I102" s="21">
        <f>IF(AND(F102&lt;&gt;"",G102&lt;&gt;""),F102*G102,"")</f>
        <v/>
      </c>
      <c r="J102" s="21">
        <f>IF(AND(F102&lt;&gt;"",H102&lt;&gt;""),F102*H102,"")</f>
        <v/>
      </c>
      <c r="K102" s="22" t="inlineStr"/>
      <c r="L102" s="23">
        <f>IF(AND(I102&lt;&gt;"",J102&lt;&gt;""),J102-I102-IF(K102&lt;&gt;"",K102,0),"")</f>
        <v/>
      </c>
      <c r="M102" s="24">
        <f>IF(AND(L102&lt;&gt;"",I102&lt;&gt;"",I102&lt;&gt;0),L102/I102*100,"")</f>
        <v/>
      </c>
      <c r="N102" s="25" t="inlineStr"/>
      <c r="O102" s="26" t="inlineStr"/>
      <c r="P102" s="26" t="inlineStr"/>
      <c r="Q102" s="27" t="inlineStr"/>
      <c r="R102" s="28" t="inlineStr"/>
      <c r="S102" s="2" t="n"/>
    </row>
    <row r="103" ht="20" customHeight="1">
      <c r="A103" s="29" t="n">
        <v>100</v>
      </c>
      <c r="B103" s="30" t="inlineStr"/>
      <c r="C103" s="31" t="inlineStr"/>
      <c r="D103" s="32" t="inlineStr"/>
      <c r="E103" s="33" t="inlineStr"/>
      <c r="F103" s="34" t="inlineStr"/>
      <c r="G103" s="35" t="inlineStr"/>
      <c r="H103" s="35" t="inlineStr"/>
      <c r="I103" s="21">
        <f>IF(AND(F103&lt;&gt;"",G103&lt;&gt;""),F103*G103,"")</f>
        <v/>
      </c>
      <c r="J103" s="21">
        <f>IF(AND(F103&lt;&gt;"",H103&lt;&gt;""),F103*H103,"")</f>
        <v/>
      </c>
      <c r="K103" s="36" t="inlineStr"/>
      <c r="L103" s="23">
        <f>IF(AND(I103&lt;&gt;"",J103&lt;&gt;""),J103-I103-IF(K103&lt;&gt;"",K103,0),"")</f>
        <v/>
      </c>
      <c r="M103" s="24">
        <f>IF(AND(L103&lt;&gt;"",I103&lt;&gt;"",I103&lt;&gt;0),L103/I103*100,"")</f>
        <v/>
      </c>
      <c r="N103" s="37" t="inlineStr"/>
      <c r="O103" s="38" t="inlineStr"/>
      <c r="P103" s="38" t="inlineStr"/>
      <c r="Q103" s="39" t="inlineStr"/>
      <c r="R103" s="40" t="inlineStr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 ht="22" customHeight="1">
      <c r="A105" s="41" t="inlineStr">
        <is>
          <t>ОБЩО:</t>
        </is>
      </c>
      <c r="L105" s="42">
        <f>SUM(L4:L103)</f>
        <v/>
      </c>
      <c r="M105" s="43">
        <f>IF(COUNTIF(L4:L103,"&lt;&gt;"&amp;"")&gt;0,COUNTIF(L4:L103,"&gt;0")/COUNTIF(L4:L103,"&lt;&gt;"&amp;"")*100,"")</f>
        <v/>
      </c>
      <c r="N105" s="44" t="inlineStr">
        <is>
          <t>% Win Rate</t>
        </is>
      </c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</sheetData>
  <autoFilter ref="A3:R3"/>
  <mergeCells count="3">
    <mergeCell ref="A105:K105"/>
    <mergeCell ref="A2:R2"/>
    <mergeCell ref="A1:R1"/>
  </mergeCells>
  <conditionalFormatting sqref="L4:M103">
    <cfRule type="expression" priority="1" dxfId="0">
      <formula>$L4&gt;0</formula>
    </cfRule>
    <cfRule type="expression" priority="2" dxfId="1">
      <formula>$L4&lt;0</formula>
    </cfRule>
  </conditionalFormatting>
  <conditionalFormatting sqref="E4:E103">
    <cfRule type="expression" priority="3" dxfId="0">
      <formula>$E4="BUY"</formula>
    </cfRule>
    <cfRule type="expression" priority="4" dxfId="1">
      <formula>$E4="SELL"</formula>
    </cfRule>
    <cfRule type="expression" priority="5" dxfId="2">
      <formula>$E4="DCA"</formula>
    </cfRule>
  </conditionalFormatting>
  <dataValidations count="4">
    <dataValidation sqref="E4:E103" showDropDown="0" showInputMessage="0" showErrorMessage="0" allowBlank="1" type="list">
      <formula1>"BUY,SELL,DCA"</formula1>
    </dataValidation>
    <dataValidation sqref="N4:N103" showDropDown="0" showInputMessage="0" showErrorMessage="0" allowBlank="1" type="list">
      <formula1>"DCA,HODL,Swing Trade,Scalp,Пробив,Arbitrage,Друго"</formula1>
    </dataValidation>
    <dataValidation sqref="O4:O103" showDropDown="0" showInputMessage="0" showErrorMessage="0" allowBlank="1" type="list">
      <formula1>"Спокоен,FOMO,Страх,Алчност,Neutral,Свръхувереност,Revenge"</formula1>
    </dataValidation>
    <dataValidation sqref="P4:P103" showDropDown="0" showInputMessage="0" showErrorMessage="0" allowBlank="1" type="list">
      <formula1>"Доволен,Неутрален,Разочарован,Изненадан,Съжаление"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L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 ht="26" customHeight="1">
      <c r="A1" s="10" t="inlineStr">
        <is>
          <t xml:space="preserve">  ПОРТФЕЙЛ — ТЕКУЩИ ПОЗИЦИИ  |  HODLClub</t>
        </is>
      </c>
      <c r="L1" s="2" t="n"/>
    </row>
    <row r="2" ht="20" customHeight="1">
      <c r="A2" s="45" t="inlineStr">
        <is>
          <t>ДАТА НА СНАПШОТА:</t>
        </is>
      </c>
      <c r="B2" s="46" t="n"/>
      <c r="C2" s="47" t="n"/>
      <c r="L2" s="2" t="n"/>
    </row>
    <row r="3" ht="22" customHeight="1">
      <c r="A3" s="12" t="inlineStr">
        <is>
          <t>#</t>
        </is>
      </c>
      <c r="B3" s="12" t="inlineStr">
        <is>
          <t>МОНЕТА</t>
        </is>
      </c>
      <c r="C3" s="12" t="inlineStr">
        <is>
          <t>БОРСА / ПОРТФЕЙЛ</t>
        </is>
      </c>
      <c r="D3" s="12" t="inlineStr">
        <is>
          <t>МРЕЖА</t>
        </is>
      </c>
      <c r="E3" s="12" t="inlineStr">
        <is>
          <t>КОЛИЧЕСТВО</t>
        </is>
      </c>
      <c r="F3" s="12" t="inlineStr">
        <is>
          <t>СР. ЦЕНА ПОКУПКА</t>
        </is>
      </c>
      <c r="G3" s="12" t="inlineStr">
        <is>
          <t>ТЕКУЩА ЦЕНА</t>
        </is>
      </c>
      <c r="H3" s="12" t="inlineStr">
        <is>
          <t>ИНВЕСТИЦИЯ (USD)</t>
        </is>
      </c>
      <c r="I3" s="12" t="inlineStr">
        <is>
          <t>СТОЙНОСТ (USD)</t>
        </is>
      </c>
      <c r="J3" s="12" t="inlineStr">
        <is>
          <t>P&amp;L (USD)</t>
        </is>
      </c>
      <c r="K3" s="12" t="inlineStr">
        <is>
          <t>P&amp;L (%)</t>
        </is>
      </c>
      <c r="L3" s="2" t="n"/>
    </row>
    <row r="4" ht="20" customHeight="1">
      <c r="A4" s="14" t="n">
        <v>1</v>
      </c>
      <c r="B4" s="16" t="inlineStr"/>
      <c r="C4" s="17" t="inlineStr"/>
      <c r="D4" s="48" t="inlineStr"/>
      <c r="E4" s="19" t="inlineStr"/>
      <c r="F4" s="20" t="inlineStr"/>
      <c r="G4" s="49" t="inlineStr"/>
      <c r="H4" s="50">
        <f>IF(AND(E4&lt;&gt;"",F4&lt;&gt;""),E4*F4,"")</f>
        <v/>
      </c>
      <c r="I4" s="50">
        <f>IF(AND(E4&lt;&gt;"",G4&lt;&gt;""),E4*G4,"")</f>
        <v/>
      </c>
      <c r="J4" s="23">
        <f>IF(AND(H4&lt;&gt;"",I4&lt;&gt;""),I4-H4,"")</f>
        <v/>
      </c>
      <c r="K4" s="24">
        <f>IF(AND(J4&lt;&gt;"",H4&lt;&gt;"",H4&lt;&gt;0),J4/H4*100,"")</f>
        <v/>
      </c>
      <c r="L4" s="2" t="n"/>
    </row>
    <row r="5" ht="20" customHeight="1">
      <c r="A5" s="29" t="n">
        <v>2</v>
      </c>
      <c r="B5" s="31" t="inlineStr"/>
      <c r="C5" s="32" t="inlineStr"/>
      <c r="D5" s="51" t="inlineStr"/>
      <c r="E5" s="34" t="inlineStr"/>
      <c r="F5" s="35" t="inlineStr"/>
      <c r="G5" s="52" t="inlineStr"/>
      <c r="H5" s="50">
        <f>IF(AND(E5&lt;&gt;"",F5&lt;&gt;""),E5*F5,"")</f>
        <v/>
      </c>
      <c r="I5" s="50">
        <f>IF(AND(E5&lt;&gt;"",G5&lt;&gt;""),E5*G5,"")</f>
        <v/>
      </c>
      <c r="J5" s="23">
        <f>IF(AND(H5&lt;&gt;"",I5&lt;&gt;""),I5-H5,"")</f>
        <v/>
      </c>
      <c r="K5" s="24">
        <f>IF(AND(J5&lt;&gt;"",H5&lt;&gt;"",H5&lt;&gt;0),J5/H5*100,"")</f>
        <v/>
      </c>
      <c r="L5" s="2" t="n"/>
    </row>
    <row r="6" ht="20" customHeight="1">
      <c r="A6" s="14" t="n">
        <v>3</v>
      </c>
      <c r="B6" s="16" t="inlineStr"/>
      <c r="C6" s="17" t="inlineStr"/>
      <c r="D6" s="48" t="inlineStr"/>
      <c r="E6" s="19" t="inlineStr"/>
      <c r="F6" s="20" t="inlineStr"/>
      <c r="G6" s="49" t="inlineStr"/>
      <c r="H6" s="50">
        <f>IF(AND(E6&lt;&gt;"",F6&lt;&gt;""),E6*F6,"")</f>
        <v/>
      </c>
      <c r="I6" s="50">
        <f>IF(AND(E6&lt;&gt;"",G6&lt;&gt;""),E6*G6,"")</f>
        <v/>
      </c>
      <c r="J6" s="23">
        <f>IF(AND(H6&lt;&gt;"",I6&lt;&gt;""),I6-H6,"")</f>
        <v/>
      </c>
      <c r="K6" s="24">
        <f>IF(AND(J6&lt;&gt;"",H6&lt;&gt;"",H6&lt;&gt;0),J6/H6*100,"")</f>
        <v/>
      </c>
      <c r="L6" s="2" t="n"/>
    </row>
    <row r="7" ht="20" customHeight="1">
      <c r="A7" s="29" t="n">
        <v>4</v>
      </c>
      <c r="B7" s="31" t="inlineStr"/>
      <c r="C7" s="32" t="inlineStr"/>
      <c r="D7" s="51" t="inlineStr"/>
      <c r="E7" s="34" t="inlineStr"/>
      <c r="F7" s="35" t="inlineStr"/>
      <c r="G7" s="52" t="inlineStr"/>
      <c r="H7" s="50">
        <f>IF(AND(E7&lt;&gt;"",F7&lt;&gt;""),E7*F7,"")</f>
        <v/>
      </c>
      <c r="I7" s="50">
        <f>IF(AND(E7&lt;&gt;"",G7&lt;&gt;""),E7*G7,"")</f>
        <v/>
      </c>
      <c r="J7" s="23">
        <f>IF(AND(H7&lt;&gt;"",I7&lt;&gt;""),I7-H7,"")</f>
        <v/>
      </c>
      <c r="K7" s="24">
        <f>IF(AND(J7&lt;&gt;"",H7&lt;&gt;"",H7&lt;&gt;0),J7/H7*100,"")</f>
        <v/>
      </c>
      <c r="L7" s="2" t="n"/>
    </row>
    <row r="8" ht="20" customHeight="1">
      <c r="A8" s="14" t="n">
        <v>5</v>
      </c>
      <c r="B8" s="16" t="inlineStr"/>
      <c r="C8" s="17" t="inlineStr"/>
      <c r="D8" s="48" t="inlineStr"/>
      <c r="E8" s="19" t="inlineStr"/>
      <c r="F8" s="20" t="inlineStr"/>
      <c r="G8" s="49" t="inlineStr"/>
      <c r="H8" s="50">
        <f>IF(AND(E8&lt;&gt;"",F8&lt;&gt;""),E8*F8,"")</f>
        <v/>
      </c>
      <c r="I8" s="50">
        <f>IF(AND(E8&lt;&gt;"",G8&lt;&gt;""),E8*G8,"")</f>
        <v/>
      </c>
      <c r="J8" s="23">
        <f>IF(AND(H8&lt;&gt;"",I8&lt;&gt;""),I8-H8,"")</f>
        <v/>
      </c>
      <c r="K8" s="24">
        <f>IF(AND(J8&lt;&gt;"",H8&lt;&gt;"",H8&lt;&gt;0),J8/H8*100,"")</f>
        <v/>
      </c>
      <c r="L8" s="2" t="n"/>
    </row>
    <row r="9" ht="20" customHeight="1">
      <c r="A9" s="29" t="n">
        <v>6</v>
      </c>
      <c r="B9" s="31" t="inlineStr"/>
      <c r="C9" s="32" t="inlineStr"/>
      <c r="D9" s="51" t="inlineStr"/>
      <c r="E9" s="34" t="inlineStr"/>
      <c r="F9" s="35" t="inlineStr"/>
      <c r="G9" s="52" t="inlineStr"/>
      <c r="H9" s="50">
        <f>IF(AND(E9&lt;&gt;"",F9&lt;&gt;""),E9*F9,"")</f>
        <v/>
      </c>
      <c r="I9" s="50">
        <f>IF(AND(E9&lt;&gt;"",G9&lt;&gt;""),E9*G9,"")</f>
        <v/>
      </c>
      <c r="J9" s="23">
        <f>IF(AND(H9&lt;&gt;"",I9&lt;&gt;""),I9-H9,"")</f>
        <v/>
      </c>
      <c r="K9" s="24">
        <f>IF(AND(J9&lt;&gt;"",H9&lt;&gt;"",H9&lt;&gt;0),J9/H9*100,"")</f>
        <v/>
      </c>
      <c r="L9" s="2" t="n"/>
    </row>
    <row r="10" ht="20" customHeight="1">
      <c r="A10" s="14" t="n">
        <v>7</v>
      </c>
      <c r="B10" s="16" t="inlineStr"/>
      <c r="C10" s="17" t="inlineStr"/>
      <c r="D10" s="48" t="inlineStr"/>
      <c r="E10" s="19" t="inlineStr"/>
      <c r="F10" s="20" t="inlineStr"/>
      <c r="G10" s="49" t="inlineStr"/>
      <c r="H10" s="50">
        <f>IF(AND(E10&lt;&gt;"",F10&lt;&gt;""),E10*F10,"")</f>
        <v/>
      </c>
      <c r="I10" s="50">
        <f>IF(AND(E10&lt;&gt;"",G10&lt;&gt;""),E10*G10,"")</f>
        <v/>
      </c>
      <c r="J10" s="23">
        <f>IF(AND(H10&lt;&gt;"",I10&lt;&gt;""),I10-H10,"")</f>
        <v/>
      </c>
      <c r="K10" s="24">
        <f>IF(AND(J10&lt;&gt;"",H10&lt;&gt;"",H10&lt;&gt;0),J10/H10*100,"")</f>
        <v/>
      </c>
      <c r="L10" s="2" t="n"/>
    </row>
    <row r="11" ht="20" customHeight="1">
      <c r="A11" s="29" t="n">
        <v>8</v>
      </c>
      <c r="B11" s="31" t="inlineStr"/>
      <c r="C11" s="32" t="inlineStr"/>
      <c r="D11" s="51" t="inlineStr"/>
      <c r="E11" s="34" t="inlineStr"/>
      <c r="F11" s="35" t="inlineStr"/>
      <c r="G11" s="52" t="inlineStr"/>
      <c r="H11" s="50">
        <f>IF(AND(E11&lt;&gt;"",F11&lt;&gt;""),E11*F11,"")</f>
        <v/>
      </c>
      <c r="I11" s="50">
        <f>IF(AND(E11&lt;&gt;"",G11&lt;&gt;""),E11*G11,"")</f>
        <v/>
      </c>
      <c r="J11" s="23">
        <f>IF(AND(H11&lt;&gt;"",I11&lt;&gt;""),I11-H11,"")</f>
        <v/>
      </c>
      <c r="K11" s="24">
        <f>IF(AND(J11&lt;&gt;"",H11&lt;&gt;"",H11&lt;&gt;0),J11/H11*100,"")</f>
        <v/>
      </c>
      <c r="L11" s="2" t="n"/>
    </row>
    <row r="12" ht="20" customHeight="1">
      <c r="A12" s="14" t="n">
        <v>9</v>
      </c>
      <c r="B12" s="16" t="inlineStr"/>
      <c r="C12" s="17" t="inlineStr"/>
      <c r="D12" s="48" t="inlineStr"/>
      <c r="E12" s="19" t="inlineStr"/>
      <c r="F12" s="20" t="inlineStr"/>
      <c r="G12" s="49" t="inlineStr"/>
      <c r="H12" s="50">
        <f>IF(AND(E12&lt;&gt;"",F12&lt;&gt;""),E12*F12,"")</f>
        <v/>
      </c>
      <c r="I12" s="50">
        <f>IF(AND(E12&lt;&gt;"",G12&lt;&gt;""),E12*G12,"")</f>
        <v/>
      </c>
      <c r="J12" s="23">
        <f>IF(AND(H12&lt;&gt;"",I12&lt;&gt;""),I12-H12,"")</f>
        <v/>
      </c>
      <c r="K12" s="24">
        <f>IF(AND(J12&lt;&gt;"",H12&lt;&gt;"",H12&lt;&gt;0),J12/H12*100,"")</f>
        <v/>
      </c>
      <c r="L12" s="2" t="n"/>
    </row>
    <row r="13" ht="20" customHeight="1">
      <c r="A13" s="29" t="n">
        <v>10</v>
      </c>
      <c r="B13" s="31" t="inlineStr"/>
      <c r="C13" s="32" t="inlineStr"/>
      <c r="D13" s="51" t="inlineStr"/>
      <c r="E13" s="34" t="inlineStr"/>
      <c r="F13" s="35" t="inlineStr"/>
      <c r="G13" s="52" t="inlineStr"/>
      <c r="H13" s="50">
        <f>IF(AND(E13&lt;&gt;"",F13&lt;&gt;""),E13*F13,"")</f>
        <v/>
      </c>
      <c r="I13" s="50">
        <f>IF(AND(E13&lt;&gt;"",G13&lt;&gt;""),E13*G13,"")</f>
        <v/>
      </c>
      <c r="J13" s="23">
        <f>IF(AND(H13&lt;&gt;"",I13&lt;&gt;""),I13-H13,"")</f>
        <v/>
      </c>
      <c r="K13" s="24">
        <f>IF(AND(J13&lt;&gt;"",H13&lt;&gt;"",H13&lt;&gt;0),J13/H13*100,"")</f>
        <v/>
      </c>
      <c r="L13" s="2" t="n"/>
    </row>
    <row r="14" ht="20" customHeight="1">
      <c r="A14" s="14" t="n">
        <v>11</v>
      </c>
      <c r="B14" s="16" t="inlineStr"/>
      <c r="C14" s="17" t="inlineStr"/>
      <c r="D14" s="48" t="inlineStr"/>
      <c r="E14" s="19" t="inlineStr"/>
      <c r="F14" s="20" t="inlineStr"/>
      <c r="G14" s="49" t="inlineStr"/>
      <c r="H14" s="50">
        <f>IF(AND(E14&lt;&gt;"",F14&lt;&gt;""),E14*F14,"")</f>
        <v/>
      </c>
      <c r="I14" s="50">
        <f>IF(AND(E14&lt;&gt;"",G14&lt;&gt;""),E14*G14,"")</f>
        <v/>
      </c>
      <c r="J14" s="23">
        <f>IF(AND(H14&lt;&gt;"",I14&lt;&gt;""),I14-H14,"")</f>
        <v/>
      </c>
      <c r="K14" s="24">
        <f>IF(AND(J14&lt;&gt;"",H14&lt;&gt;"",H14&lt;&gt;0),J14/H14*100,"")</f>
        <v/>
      </c>
      <c r="L14" s="2" t="n"/>
    </row>
    <row r="15" ht="20" customHeight="1">
      <c r="A15" s="29" t="n">
        <v>12</v>
      </c>
      <c r="B15" s="31" t="inlineStr"/>
      <c r="C15" s="32" t="inlineStr"/>
      <c r="D15" s="51" t="inlineStr"/>
      <c r="E15" s="34" t="inlineStr"/>
      <c r="F15" s="35" t="inlineStr"/>
      <c r="G15" s="52" t="inlineStr"/>
      <c r="H15" s="50">
        <f>IF(AND(E15&lt;&gt;"",F15&lt;&gt;""),E15*F15,"")</f>
        <v/>
      </c>
      <c r="I15" s="50">
        <f>IF(AND(E15&lt;&gt;"",G15&lt;&gt;""),E15*G15,"")</f>
        <v/>
      </c>
      <c r="J15" s="23">
        <f>IF(AND(H15&lt;&gt;"",I15&lt;&gt;""),I15-H15,"")</f>
        <v/>
      </c>
      <c r="K15" s="24">
        <f>IF(AND(J15&lt;&gt;"",H15&lt;&gt;"",H15&lt;&gt;0),J15/H15*100,"")</f>
        <v/>
      </c>
      <c r="L15" s="2" t="n"/>
    </row>
    <row r="16" ht="20" customHeight="1">
      <c r="A16" s="14" t="n">
        <v>13</v>
      </c>
      <c r="B16" s="16" t="inlineStr"/>
      <c r="C16" s="17" t="inlineStr"/>
      <c r="D16" s="48" t="inlineStr"/>
      <c r="E16" s="19" t="inlineStr"/>
      <c r="F16" s="20" t="inlineStr"/>
      <c r="G16" s="49" t="inlineStr"/>
      <c r="H16" s="50">
        <f>IF(AND(E16&lt;&gt;"",F16&lt;&gt;""),E16*F16,"")</f>
        <v/>
      </c>
      <c r="I16" s="50">
        <f>IF(AND(E16&lt;&gt;"",G16&lt;&gt;""),E16*G16,"")</f>
        <v/>
      </c>
      <c r="J16" s="23">
        <f>IF(AND(H16&lt;&gt;"",I16&lt;&gt;""),I16-H16,"")</f>
        <v/>
      </c>
      <c r="K16" s="24">
        <f>IF(AND(J16&lt;&gt;"",H16&lt;&gt;"",H16&lt;&gt;0),J16/H16*100,"")</f>
        <v/>
      </c>
      <c r="L16" s="2" t="n"/>
    </row>
    <row r="17" ht="20" customHeight="1">
      <c r="A17" s="29" t="n">
        <v>14</v>
      </c>
      <c r="B17" s="31" t="inlineStr"/>
      <c r="C17" s="32" t="inlineStr"/>
      <c r="D17" s="51" t="inlineStr"/>
      <c r="E17" s="34" t="inlineStr"/>
      <c r="F17" s="35" t="inlineStr"/>
      <c r="G17" s="52" t="inlineStr"/>
      <c r="H17" s="50">
        <f>IF(AND(E17&lt;&gt;"",F17&lt;&gt;""),E17*F17,"")</f>
        <v/>
      </c>
      <c r="I17" s="50">
        <f>IF(AND(E17&lt;&gt;"",G17&lt;&gt;""),E17*G17,"")</f>
        <v/>
      </c>
      <c r="J17" s="23">
        <f>IF(AND(H17&lt;&gt;"",I17&lt;&gt;""),I17-H17,"")</f>
        <v/>
      </c>
      <c r="K17" s="24">
        <f>IF(AND(J17&lt;&gt;"",H17&lt;&gt;"",H17&lt;&gt;0),J17/H17*100,"")</f>
        <v/>
      </c>
      <c r="L17" s="2" t="n"/>
    </row>
    <row r="18" ht="20" customHeight="1">
      <c r="A18" s="14" t="n">
        <v>15</v>
      </c>
      <c r="B18" s="16" t="inlineStr"/>
      <c r="C18" s="17" t="inlineStr"/>
      <c r="D18" s="48" t="inlineStr"/>
      <c r="E18" s="19" t="inlineStr"/>
      <c r="F18" s="20" t="inlineStr"/>
      <c r="G18" s="49" t="inlineStr"/>
      <c r="H18" s="50">
        <f>IF(AND(E18&lt;&gt;"",F18&lt;&gt;""),E18*F18,"")</f>
        <v/>
      </c>
      <c r="I18" s="50">
        <f>IF(AND(E18&lt;&gt;"",G18&lt;&gt;""),E18*G18,"")</f>
        <v/>
      </c>
      <c r="J18" s="23">
        <f>IF(AND(H18&lt;&gt;"",I18&lt;&gt;""),I18-H18,"")</f>
        <v/>
      </c>
      <c r="K18" s="24">
        <f>IF(AND(J18&lt;&gt;"",H18&lt;&gt;"",H18&lt;&gt;0),J18/H18*100,"")</f>
        <v/>
      </c>
      <c r="L18" s="2" t="n"/>
    </row>
    <row r="19" ht="20" customHeight="1">
      <c r="A19" s="29" t="n">
        <v>16</v>
      </c>
      <c r="B19" s="31" t="inlineStr"/>
      <c r="C19" s="32" t="inlineStr"/>
      <c r="D19" s="51" t="inlineStr"/>
      <c r="E19" s="34" t="inlineStr"/>
      <c r="F19" s="35" t="inlineStr"/>
      <c r="G19" s="52" t="inlineStr"/>
      <c r="H19" s="50">
        <f>IF(AND(E19&lt;&gt;"",F19&lt;&gt;""),E19*F19,"")</f>
        <v/>
      </c>
      <c r="I19" s="50">
        <f>IF(AND(E19&lt;&gt;"",G19&lt;&gt;""),E19*G19,"")</f>
        <v/>
      </c>
      <c r="J19" s="23">
        <f>IF(AND(H19&lt;&gt;"",I19&lt;&gt;""),I19-H19,"")</f>
        <v/>
      </c>
      <c r="K19" s="24">
        <f>IF(AND(J19&lt;&gt;"",H19&lt;&gt;"",H19&lt;&gt;0),J19/H19*100,"")</f>
        <v/>
      </c>
      <c r="L19" s="2" t="n"/>
    </row>
    <row r="20" ht="20" customHeight="1">
      <c r="A20" s="14" t="n">
        <v>17</v>
      </c>
      <c r="B20" s="16" t="inlineStr"/>
      <c r="C20" s="17" t="inlineStr"/>
      <c r="D20" s="48" t="inlineStr"/>
      <c r="E20" s="19" t="inlineStr"/>
      <c r="F20" s="20" t="inlineStr"/>
      <c r="G20" s="49" t="inlineStr"/>
      <c r="H20" s="50">
        <f>IF(AND(E20&lt;&gt;"",F20&lt;&gt;""),E20*F20,"")</f>
        <v/>
      </c>
      <c r="I20" s="50">
        <f>IF(AND(E20&lt;&gt;"",G20&lt;&gt;""),E20*G20,"")</f>
        <v/>
      </c>
      <c r="J20" s="23">
        <f>IF(AND(H20&lt;&gt;"",I20&lt;&gt;""),I20-H20,"")</f>
        <v/>
      </c>
      <c r="K20" s="24">
        <f>IF(AND(J20&lt;&gt;"",H20&lt;&gt;"",H20&lt;&gt;0),J20/H20*100,"")</f>
        <v/>
      </c>
      <c r="L20" s="2" t="n"/>
    </row>
    <row r="21" ht="20" customHeight="1">
      <c r="A21" s="29" t="n">
        <v>18</v>
      </c>
      <c r="B21" s="31" t="inlineStr"/>
      <c r="C21" s="32" t="inlineStr"/>
      <c r="D21" s="51" t="inlineStr"/>
      <c r="E21" s="34" t="inlineStr"/>
      <c r="F21" s="35" t="inlineStr"/>
      <c r="G21" s="52" t="inlineStr"/>
      <c r="H21" s="50">
        <f>IF(AND(E21&lt;&gt;"",F21&lt;&gt;""),E21*F21,"")</f>
        <v/>
      </c>
      <c r="I21" s="50">
        <f>IF(AND(E21&lt;&gt;"",G21&lt;&gt;""),E21*G21,"")</f>
        <v/>
      </c>
      <c r="J21" s="23">
        <f>IF(AND(H21&lt;&gt;"",I21&lt;&gt;""),I21-H21,"")</f>
        <v/>
      </c>
      <c r="K21" s="24">
        <f>IF(AND(J21&lt;&gt;"",H21&lt;&gt;"",H21&lt;&gt;0),J21/H21*100,"")</f>
        <v/>
      </c>
      <c r="L21" s="2" t="n"/>
    </row>
    <row r="22" ht="20" customHeight="1">
      <c r="A22" s="14" t="n">
        <v>19</v>
      </c>
      <c r="B22" s="16" t="inlineStr"/>
      <c r="C22" s="17" t="inlineStr"/>
      <c r="D22" s="48" t="inlineStr"/>
      <c r="E22" s="19" t="inlineStr"/>
      <c r="F22" s="20" t="inlineStr"/>
      <c r="G22" s="49" t="inlineStr"/>
      <c r="H22" s="50">
        <f>IF(AND(E22&lt;&gt;"",F22&lt;&gt;""),E22*F22,"")</f>
        <v/>
      </c>
      <c r="I22" s="50">
        <f>IF(AND(E22&lt;&gt;"",G22&lt;&gt;""),E22*G22,"")</f>
        <v/>
      </c>
      <c r="J22" s="23">
        <f>IF(AND(H22&lt;&gt;"",I22&lt;&gt;""),I22-H22,"")</f>
        <v/>
      </c>
      <c r="K22" s="24">
        <f>IF(AND(J22&lt;&gt;"",H22&lt;&gt;"",H22&lt;&gt;0),J22/H22*100,"")</f>
        <v/>
      </c>
      <c r="L22" s="2" t="n"/>
    </row>
    <row r="23" ht="20" customHeight="1">
      <c r="A23" s="29" t="n">
        <v>20</v>
      </c>
      <c r="B23" s="31" t="inlineStr"/>
      <c r="C23" s="32" t="inlineStr"/>
      <c r="D23" s="51" t="inlineStr"/>
      <c r="E23" s="34" t="inlineStr"/>
      <c r="F23" s="35" t="inlineStr"/>
      <c r="G23" s="52" t="inlineStr"/>
      <c r="H23" s="50">
        <f>IF(AND(E23&lt;&gt;"",F23&lt;&gt;""),E23*F23,"")</f>
        <v/>
      </c>
      <c r="I23" s="50">
        <f>IF(AND(E23&lt;&gt;"",G23&lt;&gt;""),E23*G23,"")</f>
        <v/>
      </c>
      <c r="J23" s="23">
        <f>IF(AND(H23&lt;&gt;"",I23&lt;&gt;""),I23-H23,"")</f>
        <v/>
      </c>
      <c r="K23" s="24">
        <f>IF(AND(J23&lt;&gt;"",H23&lt;&gt;"",H23&lt;&gt;0),J23/H23*100,"")</f>
        <v/>
      </c>
      <c r="L23" s="2" t="n"/>
    </row>
    <row r="24" ht="20" customHeight="1">
      <c r="A24" s="14" t="n">
        <v>21</v>
      </c>
      <c r="B24" s="16" t="inlineStr"/>
      <c r="C24" s="17" t="inlineStr"/>
      <c r="D24" s="48" t="inlineStr"/>
      <c r="E24" s="19" t="inlineStr"/>
      <c r="F24" s="20" t="inlineStr"/>
      <c r="G24" s="49" t="inlineStr"/>
      <c r="H24" s="50">
        <f>IF(AND(E24&lt;&gt;"",F24&lt;&gt;""),E24*F24,"")</f>
        <v/>
      </c>
      <c r="I24" s="50">
        <f>IF(AND(E24&lt;&gt;"",G24&lt;&gt;""),E24*G24,"")</f>
        <v/>
      </c>
      <c r="J24" s="23">
        <f>IF(AND(H24&lt;&gt;"",I24&lt;&gt;""),I24-H24,"")</f>
        <v/>
      </c>
      <c r="K24" s="24">
        <f>IF(AND(J24&lt;&gt;"",H24&lt;&gt;"",H24&lt;&gt;0),J24/H24*100,"")</f>
        <v/>
      </c>
      <c r="L24" s="2" t="n"/>
    </row>
    <row r="25" ht="20" customHeight="1">
      <c r="A25" s="29" t="n">
        <v>22</v>
      </c>
      <c r="B25" s="31" t="inlineStr"/>
      <c r="C25" s="32" t="inlineStr"/>
      <c r="D25" s="51" t="inlineStr"/>
      <c r="E25" s="34" t="inlineStr"/>
      <c r="F25" s="35" t="inlineStr"/>
      <c r="G25" s="52" t="inlineStr"/>
      <c r="H25" s="50">
        <f>IF(AND(E25&lt;&gt;"",F25&lt;&gt;""),E25*F25,"")</f>
        <v/>
      </c>
      <c r="I25" s="50">
        <f>IF(AND(E25&lt;&gt;"",G25&lt;&gt;""),E25*G25,"")</f>
        <v/>
      </c>
      <c r="J25" s="23">
        <f>IF(AND(H25&lt;&gt;"",I25&lt;&gt;""),I25-H25,"")</f>
        <v/>
      </c>
      <c r="K25" s="24">
        <f>IF(AND(J25&lt;&gt;"",H25&lt;&gt;"",H25&lt;&gt;0),J25/H25*100,"")</f>
        <v/>
      </c>
      <c r="L25" s="2" t="n"/>
    </row>
    <row r="26" ht="20" customHeight="1">
      <c r="A26" s="14" t="n">
        <v>23</v>
      </c>
      <c r="B26" s="16" t="inlineStr"/>
      <c r="C26" s="17" t="inlineStr"/>
      <c r="D26" s="48" t="inlineStr"/>
      <c r="E26" s="19" t="inlineStr"/>
      <c r="F26" s="20" t="inlineStr"/>
      <c r="G26" s="49" t="inlineStr"/>
      <c r="H26" s="50">
        <f>IF(AND(E26&lt;&gt;"",F26&lt;&gt;""),E26*F26,"")</f>
        <v/>
      </c>
      <c r="I26" s="50">
        <f>IF(AND(E26&lt;&gt;"",G26&lt;&gt;""),E26*G26,"")</f>
        <v/>
      </c>
      <c r="J26" s="23">
        <f>IF(AND(H26&lt;&gt;"",I26&lt;&gt;""),I26-H26,"")</f>
        <v/>
      </c>
      <c r="K26" s="24">
        <f>IF(AND(J26&lt;&gt;"",H26&lt;&gt;"",H26&lt;&gt;0),J26/H26*100,"")</f>
        <v/>
      </c>
      <c r="L26" s="2" t="n"/>
    </row>
    <row r="27" ht="20" customHeight="1">
      <c r="A27" s="29" t="n">
        <v>24</v>
      </c>
      <c r="B27" s="31" t="inlineStr"/>
      <c r="C27" s="32" t="inlineStr"/>
      <c r="D27" s="51" t="inlineStr"/>
      <c r="E27" s="34" t="inlineStr"/>
      <c r="F27" s="35" t="inlineStr"/>
      <c r="G27" s="52" t="inlineStr"/>
      <c r="H27" s="50">
        <f>IF(AND(E27&lt;&gt;"",F27&lt;&gt;""),E27*F27,"")</f>
        <v/>
      </c>
      <c r="I27" s="50">
        <f>IF(AND(E27&lt;&gt;"",G27&lt;&gt;""),E27*G27,"")</f>
        <v/>
      </c>
      <c r="J27" s="23">
        <f>IF(AND(H27&lt;&gt;"",I27&lt;&gt;""),I27-H27,"")</f>
        <v/>
      </c>
      <c r="K27" s="24">
        <f>IF(AND(J27&lt;&gt;"",H27&lt;&gt;"",H27&lt;&gt;0),J27/H27*100,"")</f>
        <v/>
      </c>
      <c r="L27" s="2" t="n"/>
    </row>
    <row r="28" ht="20" customHeight="1">
      <c r="A28" s="14" t="n">
        <v>25</v>
      </c>
      <c r="B28" s="16" t="inlineStr"/>
      <c r="C28" s="17" t="inlineStr"/>
      <c r="D28" s="48" t="inlineStr"/>
      <c r="E28" s="19" t="inlineStr"/>
      <c r="F28" s="20" t="inlineStr"/>
      <c r="G28" s="49" t="inlineStr"/>
      <c r="H28" s="50">
        <f>IF(AND(E28&lt;&gt;"",F28&lt;&gt;""),E28*F28,"")</f>
        <v/>
      </c>
      <c r="I28" s="50">
        <f>IF(AND(E28&lt;&gt;"",G28&lt;&gt;""),E28*G28,"")</f>
        <v/>
      </c>
      <c r="J28" s="23">
        <f>IF(AND(H28&lt;&gt;"",I28&lt;&gt;""),I28-H28,"")</f>
        <v/>
      </c>
      <c r="K28" s="24">
        <f>IF(AND(J28&lt;&gt;"",H28&lt;&gt;"",H28&lt;&gt;0),J28/H28*100,"")</f>
        <v/>
      </c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22" customHeight="1">
      <c r="A30" s="41" t="inlineStr">
        <is>
          <t>ОБЩО:</t>
        </is>
      </c>
      <c r="H30" s="53">
        <f>SUM(H4:H28)</f>
        <v/>
      </c>
      <c r="I30" s="53">
        <f>SUM(I4:I28)</f>
        <v/>
      </c>
      <c r="J30" s="23">
        <f>SUM(J4:J28)</f>
        <v/>
      </c>
      <c r="K30" s="24">
        <f>IF(H30&lt;&gt;0,J30/H30*100,"")</f>
        <v/>
      </c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54" t="inlineStr">
        <is>
          <t>РАЗПРЕДЕЛЕНИЕ ПО ПЛАТФОРМИ:</t>
        </is>
      </c>
      <c r="I33" s="2" t="n"/>
      <c r="J33" s="2" t="n"/>
      <c r="K33" s="2" t="n"/>
      <c r="L33" s="2" t="n"/>
    </row>
    <row r="34">
      <c r="A34" s="55" t="inlineStr">
        <is>
          <t>BINANCE</t>
        </is>
      </c>
      <c r="B34" s="55" t="inlineStr">
        <is>
          <t>BYBIT</t>
        </is>
      </c>
      <c r="C34" s="55" t="inlineStr">
        <is>
          <t>LEDGER</t>
        </is>
      </c>
      <c r="D34" s="55" t="inlineStr">
        <is>
          <t>TREZOR</t>
        </is>
      </c>
      <c r="E34" s="55" t="inlineStr">
        <is>
          <t>TANGEM</t>
        </is>
      </c>
      <c r="F34" s="55" t="inlineStr">
        <is>
          <t>ДРУГО</t>
        </is>
      </c>
      <c r="G34" s="2" t="n"/>
      <c r="H34" s="2" t="n"/>
      <c r="I34" s="2" t="n"/>
      <c r="J34" s="2" t="n"/>
      <c r="K34" s="2" t="n"/>
      <c r="L34" s="2" t="n"/>
    </row>
    <row r="35">
      <c r="A35" s="56" t="inlineStr"/>
      <c r="B35" s="56" t="inlineStr"/>
      <c r="C35" s="56" t="inlineStr"/>
      <c r="D35" s="56" t="inlineStr"/>
      <c r="E35" s="56" t="inlineStr"/>
      <c r="F35" s="56" t="inlineStr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</sheetData>
  <mergeCells count="5">
    <mergeCell ref="C2:K2"/>
    <mergeCell ref="A2:B2"/>
    <mergeCell ref="A30:G30"/>
    <mergeCell ref="A33:H33"/>
    <mergeCell ref="A1:K1"/>
  </mergeCells>
  <conditionalFormatting sqref="J4:K28">
    <cfRule type="expression" priority="1" dxfId="0">
      <formula>$J4&gt;0</formula>
    </cfRule>
    <cfRule type="expression" priority="2" dxfId="1">
      <formula>$J4&lt;0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K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10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40" customWidth="1" min="9" max="9"/>
  </cols>
  <sheetData>
    <row r="1" ht="26" customHeight="1">
      <c r="A1" s="10" t="inlineStr">
        <is>
          <t xml:space="preserve">  МЕСЕЧЕН ОБЗОР  |  HODLClub</t>
        </is>
      </c>
      <c r="K1" s="2" t="n"/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2" customHeight="1">
      <c r="A3" s="13" t="inlineStr">
        <is>
          <t>МЕСЕЦ</t>
        </is>
      </c>
      <c r="B3" s="12" t="inlineStr">
        <is>
          <t>М#</t>
        </is>
      </c>
      <c r="C3" s="12" t="inlineStr">
        <is>
          <t>СДЕЛКИ</t>
        </is>
      </c>
      <c r="D3" s="12" t="inlineStr">
        <is>
          <t>ПЕЧЕЛИВШИ</t>
        </is>
      </c>
      <c r="E3" s="12" t="inlineStr">
        <is>
          <t>ГУБЕЩИ</t>
        </is>
      </c>
      <c r="F3" s="12" t="inlineStr">
        <is>
          <t>P&amp;L (USD)</t>
        </is>
      </c>
      <c r="G3" s="12" t="inlineStr">
        <is>
          <t>WIN RATE %</t>
        </is>
      </c>
      <c r="H3" s="12" t="inlineStr">
        <is>
          <t>ОБЩО %</t>
        </is>
      </c>
      <c r="I3" s="13" t="inlineStr">
        <is>
          <t>БЕЛЕЖКИ</t>
        </is>
      </c>
      <c r="J3" s="2" t="n"/>
      <c r="K3" s="2" t="n"/>
    </row>
    <row r="4" ht="20" customHeight="1">
      <c r="A4" s="16" t="inlineStr">
        <is>
          <t>Януари</t>
        </is>
      </c>
      <c r="B4" s="57" t="n">
        <v>1</v>
      </c>
      <c r="C4" s="58">
        <f>SUMPRODUCT((MONTH(ЖУРНАЛ!$B$4:ЖУРНАЛ!$B$103)=B4)*(ЖУРНАЛ!$B$4:ЖУРНАЛ!$B$103&lt;&gt;""))</f>
        <v/>
      </c>
      <c r="D4" s="59">
        <f>SUMPRODUCT((MONTH(ЖУРНАЛ!$B$4:ЖУРНАЛ!$B$103)=B4)*(ЖУРНАЛ!$L$4:ЖУРНАЛ!$L$103&gt;0))</f>
        <v/>
      </c>
      <c r="E4" s="60">
        <f>SUMPRODUCT((MONTH(ЖУРНАЛ!$B$4:ЖУРНАЛ!$B$103)=B4)*(ЖУРНАЛ!$L$4:ЖУРНАЛ!$L$103&lt;0))</f>
        <v/>
      </c>
      <c r="F4" s="23">
        <f>SUMPRODUCT((MONTH(ЖУРНАЛ!$B$4:ЖУРНАЛ!$B$103)=B4)*IF(ЖУРНАЛ!$L$4:ЖУРНАЛ!$L$103&lt;&gt;"",ЖУРНАЛ!$L$4:ЖУРНАЛ!$L$103,0))</f>
        <v/>
      </c>
      <c r="G4" s="61">
        <f>IF(C4&gt;0,D4/C4*100,"")</f>
        <v/>
      </c>
      <c r="H4" s="62" t="inlineStr"/>
      <c r="I4" s="27" t="inlineStr"/>
      <c r="J4" s="2" t="n"/>
      <c r="K4" s="2" t="n"/>
    </row>
    <row r="5" ht="20" customHeight="1">
      <c r="A5" s="31" t="inlineStr">
        <is>
          <t>Февруари</t>
        </is>
      </c>
      <c r="B5" s="63" t="n">
        <v>2</v>
      </c>
      <c r="C5" s="58">
        <f>SUMPRODUCT((MONTH(ЖУРНАЛ!$B$4:ЖУРНАЛ!$B$103)=B5)*(ЖУРНАЛ!$B$4:ЖУРНАЛ!$B$103&lt;&gt;""))</f>
        <v/>
      </c>
      <c r="D5" s="59">
        <f>SUMPRODUCT((MONTH(ЖУРНАЛ!$B$4:ЖУРНАЛ!$B$103)=B5)*(ЖУРНАЛ!$L$4:ЖУРНАЛ!$L$103&gt;0))</f>
        <v/>
      </c>
      <c r="E5" s="60">
        <f>SUMPRODUCT((MONTH(ЖУРНАЛ!$B$4:ЖУРНАЛ!$B$103)=B5)*(ЖУРНАЛ!$L$4:ЖУРНАЛ!$L$103&lt;0))</f>
        <v/>
      </c>
      <c r="F5" s="23">
        <f>SUMPRODUCT((MONTH(ЖУРНАЛ!$B$4:ЖУРНАЛ!$B$103)=B5)*IF(ЖУРНАЛ!$L$4:ЖУРНАЛ!$L$103&lt;&gt;"",ЖУРНАЛ!$L$4:ЖУРНАЛ!$L$103,0))</f>
        <v/>
      </c>
      <c r="G5" s="61">
        <f>IF(C5&gt;0,D5/C5*100,"")</f>
        <v/>
      </c>
      <c r="H5" s="64" t="inlineStr"/>
      <c r="I5" s="39" t="inlineStr"/>
      <c r="J5" s="2" t="n"/>
      <c r="K5" s="2" t="n"/>
    </row>
    <row r="6" ht="20" customHeight="1">
      <c r="A6" s="16" t="inlineStr">
        <is>
          <t>Март</t>
        </is>
      </c>
      <c r="B6" s="57" t="n">
        <v>3</v>
      </c>
      <c r="C6" s="58">
        <f>SUMPRODUCT((MONTH(ЖУРНАЛ!$B$4:ЖУРНАЛ!$B$103)=B6)*(ЖУРНАЛ!$B$4:ЖУРНАЛ!$B$103&lt;&gt;""))</f>
        <v/>
      </c>
      <c r="D6" s="59">
        <f>SUMPRODUCT((MONTH(ЖУРНАЛ!$B$4:ЖУРНАЛ!$B$103)=B6)*(ЖУРНАЛ!$L$4:ЖУРНАЛ!$L$103&gt;0))</f>
        <v/>
      </c>
      <c r="E6" s="60">
        <f>SUMPRODUCT((MONTH(ЖУРНАЛ!$B$4:ЖУРНАЛ!$B$103)=B6)*(ЖУРНАЛ!$L$4:ЖУРНАЛ!$L$103&lt;0))</f>
        <v/>
      </c>
      <c r="F6" s="23">
        <f>SUMPRODUCT((MONTH(ЖУРНАЛ!$B$4:ЖУРНАЛ!$B$103)=B6)*IF(ЖУРНАЛ!$L$4:ЖУРНАЛ!$L$103&lt;&gt;"",ЖУРНАЛ!$L$4:ЖУРНАЛ!$L$103,0))</f>
        <v/>
      </c>
      <c r="G6" s="61">
        <f>IF(C6&gt;0,D6/C6*100,"")</f>
        <v/>
      </c>
      <c r="H6" s="62" t="inlineStr"/>
      <c r="I6" s="27" t="inlineStr"/>
      <c r="J6" s="2" t="n"/>
      <c r="K6" s="2" t="n"/>
    </row>
    <row r="7" ht="20" customHeight="1">
      <c r="A7" s="31" t="inlineStr">
        <is>
          <t>Април</t>
        </is>
      </c>
      <c r="B7" s="63" t="n">
        <v>4</v>
      </c>
      <c r="C7" s="58">
        <f>SUMPRODUCT((MONTH(ЖУРНАЛ!$B$4:ЖУРНАЛ!$B$103)=B7)*(ЖУРНАЛ!$B$4:ЖУРНАЛ!$B$103&lt;&gt;""))</f>
        <v/>
      </c>
      <c r="D7" s="59">
        <f>SUMPRODUCT((MONTH(ЖУРНАЛ!$B$4:ЖУРНАЛ!$B$103)=B7)*(ЖУРНАЛ!$L$4:ЖУРНАЛ!$L$103&gt;0))</f>
        <v/>
      </c>
      <c r="E7" s="60">
        <f>SUMPRODUCT((MONTH(ЖУРНАЛ!$B$4:ЖУРНАЛ!$B$103)=B7)*(ЖУРНАЛ!$L$4:ЖУРНАЛ!$L$103&lt;0))</f>
        <v/>
      </c>
      <c r="F7" s="23">
        <f>SUMPRODUCT((MONTH(ЖУРНАЛ!$B$4:ЖУРНАЛ!$B$103)=B7)*IF(ЖУРНАЛ!$L$4:ЖУРНАЛ!$L$103&lt;&gt;"",ЖУРНАЛ!$L$4:ЖУРНАЛ!$L$103,0))</f>
        <v/>
      </c>
      <c r="G7" s="61">
        <f>IF(C7&gt;0,D7/C7*100,"")</f>
        <v/>
      </c>
      <c r="H7" s="64" t="inlineStr"/>
      <c r="I7" s="39" t="inlineStr"/>
      <c r="J7" s="2" t="n"/>
      <c r="K7" s="2" t="n"/>
    </row>
    <row r="8" ht="20" customHeight="1">
      <c r="A8" s="16" t="inlineStr">
        <is>
          <t>Май</t>
        </is>
      </c>
      <c r="B8" s="57" t="n">
        <v>5</v>
      </c>
      <c r="C8" s="58">
        <f>SUMPRODUCT((MONTH(ЖУРНАЛ!$B$4:ЖУРНАЛ!$B$103)=B8)*(ЖУРНАЛ!$B$4:ЖУРНАЛ!$B$103&lt;&gt;""))</f>
        <v/>
      </c>
      <c r="D8" s="59">
        <f>SUMPRODUCT((MONTH(ЖУРНАЛ!$B$4:ЖУРНАЛ!$B$103)=B8)*(ЖУРНАЛ!$L$4:ЖУРНАЛ!$L$103&gt;0))</f>
        <v/>
      </c>
      <c r="E8" s="60">
        <f>SUMPRODUCT((MONTH(ЖУРНАЛ!$B$4:ЖУРНАЛ!$B$103)=B8)*(ЖУРНАЛ!$L$4:ЖУРНАЛ!$L$103&lt;0))</f>
        <v/>
      </c>
      <c r="F8" s="23">
        <f>SUMPRODUCT((MONTH(ЖУРНАЛ!$B$4:ЖУРНАЛ!$B$103)=B8)*IF(ЖУРНАЛ!$L$4:ЖУРНАЛ!$L$103&lt;&gt;"",ЖУРНАЛ!$L$4:ЖУРНАЛ!$L$103,0))</f>
        <v/>
      </c>
      <c r="G8" s="61">
        <f>IF(C8&gt;0,D8/C8*100,"")</f>
        <v/>
      </c>
      <c r="H8" s="62" t="inlineStr"/>
      <c r="I8" s="27" t="inlineStr"/>
      <c r="J8" s="2" t="n"/>
      <c r="K8" s="2" t="n"/>
    </row>
    <row r="9" ht="20" customHeight="1">
      <c r="A9" s="31" t="inlineStr">
        <is>
          <t>Юни</t>
        </is>
      </c>
      <c r="B9" s="63" t="n">
        <v>6</v>
      </c>
      <c r="C9" s="58">
        <f>SUMPRODUCT((MONTH(ЖУРНАЛ!$B$4:ЖУРНАЛ!$B$103)=B9)*(ЖУРНАЛ!$B$4:ЖУРНАЛ!$B$103&lt;&gt;""))</f>
        <v/>
      </c>
      <c r="D9" s="59">
        <f>SUMPRODUCT((MONTH(ЖУРНАЛ!$B$4:ЖУРНАЛ!$B$103)=B9)*(ЖУРНАЛ!$L$4:ЖУРНАЛ!$L$103&gt;0))</f>
        <v/>
      </c>
      <c r="E9" s="60">
        <f>SUMPRODUCT((MONTH(ЖУРНАЛ!$B$4:ЖУРНАЛ!$B$103)=B9)*(ЖУРНАЛ!$L$4:ЖУРНАЛ!$L$103&lt;0))</f>
        <v/>
      </c>
      <c r="F9" s="23">
        <f>SUMPRODUCT((MONTH(ЖУРНАЛ!$B$4:ЖУРНАЛ!$B$103)=B9)*IF(ЖУРНАЛ!$L$4:ЖУРНАЛ!$L$103&lt;&gt;"",ЖУРНАЛ!$L$4:ЖУРНАЛ!$L$103,0))</f>
        <v/>
      </c>
      <c r="G9" s="61">
        <f>IF(C9&gt;0,D9/C9*100,"")</f>
        <v/>
      </c>
      <c r="H9" s="64" t="inlineStr"/>
      <c r="I9" s="39" t="inlineStr"/>
      <c r="J9" s="2" t="n"/>
      <c r="K9" s="2" t="n"/>
    </row>
    <row r="10" ht="20" customHeight="1">
      <c r="A10" s="16" t="inlineStr">
        <is>
          <t>Юли</t>
        </is>
      </c>
      <c r="B10" s="57" t="n">
        <v>7</v>
      </c>
      <c r="C10" s="58">
        <f>SUMPRODUCT((MONTH(ЖУРНАЛ!$B$4:ЖУРНАЛ!$B$103)=B10)*(ЖУРНАЛ!$B$4:ЖУРНАЛ!$B$103&lt;&gt;""))</f>
        <v/>
      </c>
      <c r="D10" s="59">
        <f>SUMPRODUCT((MONTH(ЖУРНАЛ!$B$4:ЖУРНАЛ!$B$103)=B10)*(ЖУРНАЛ!$L$4:ЖУРНАЛ!$L$103&gt;0))</f>
        <v/>
      </c>
      <c r="E10" s="60">
        <f>SUMPRODUCT((MONTH(ЖУРНАЛ!$B$4:ЖУРНАЛ!$B$103)=B10)*(ЖУРНАЛ!$L$4:ЖУРНАЛ!$L$103&lt;0))</f>
        <v/>
      </c>
      <c r="F10" s="23">
        <f>SUMPRODUCT((MONTH(ЖУРНАЛ!$B$4:ЖУРНАЛ!$B$103)=B10)*IF(ЖУРНАЛ!$L$4:ЖУРНАЛ!$L$103&lt;&gt;"",ЖУРНАЛ!$L$4:ЖУРНАЛ!$L$103,0))</f>
        <v/>
      </c>
      <c r="G10" s="61">
        <f>IF(C10&gt;0,D10/C10*100,"")</f>
        <v/>
      </c>
      <c r="H10" s="62" t="inlineStr"/>
      <c r="I10" s="27" t="inlineStr"/>
      <c r="J10" s="2" t="n"/>
      <c r="K10" s="2" t="n"/>
    </row>
    <row r="11" ht="20" customHeight="1">
      <c r="A11" s="31" t="inlineStr">
        <is>
          <t>Август</t>
        </is>
      </c>
      <c r="B11" s="63" t="n">
        <v>8</v>
      </c>
      <c r="C11" s="58">
        <f>SUMPRODUCT((MONTH(ЖУРНАЛ!$B$4:ЖУРНАЛ!$B$103)=B11)*(ЖУРНАЛ!$B$4:ЖУРНАЛ!$B$103&lt;&gt;""))</f>
        <v/>
      </c>
      <c r="D11" s="59">
        <f>SUMPRODUCT((MONTH(ЖУРНАЛ!$B$4:ЖУРНАЛ!$B$103)=B11)*(ЖУРНАЛ!$L$4:ЖУРНАЛ!$L$103&gt;0))</f>
        <v/>
      </c>
      <c r="E11" s="60">
        <f>SUMPRODUCT((MONTH(ЖУРНАЛ!$B$4:ЖУРНАЛ!$B$103)=B11)*(ЖУРНАЛ!$L$4:ЖУРНАЛ!$L$103&lt;0))</f>
        <v/>
      </c>
      <c r="F11" s="23">
        <f>SUMPRODUCT((MONTH(ЖУРНАЛ!$B$4:ЖУРНАЛ!$B$103)=B11)*IF(ЖУРНАЛ!$L$4:ЖУРНАЛ!$L$103&lt;&gt;"",ЖУРНАЛ!$L$4:ЖУРНАЛ!$L$103,0))</f>
        <v/>
      </c>
      <c r="G11" s="61">
        <f>IF(C11&gt;0,D11/C11*100,"")</f>
        <v/>
      </c>
      <c r="H11" s="64" t="inlineStr"/>
      <c r="I11" s="39" t="inlineStr"/>
      <c r="J11" s="2" t="n"/>
      <c r="K11" s="2" t="n"/>
    </row>
    <row r="12" ht="20" customHeight="1">
      <c r="A12" s="16" t="inlineStr">
        <is>
          <t>Септември</t>
        </is>
      </c>
      <c r="B12" s="57" t="n">
        <v>9</v>
      </c>
      <c r="C12" s="58">
        <f>SUMPRODUCT((MONTH(ЖУРНАЛ!$B$4:ЖУРНАЛ!$B$103)=B12)*(ЖУРНАЛ!$B$4:ЖУРНАЛ!$B$103&lt;&gt;""))</f>
        <v/>
      </c>
      <c r="D12" s="59">
        <f>SUMPRODUCT((MONTH(ЖУРНАЛ!$B$4:ЖУРНАЛ!$B$103)=B12)*(ЖУРНАЛ!$L$4:ЖУРНАЛ!$L$103&gt;0))</f>
        <v/>
      </c>
      <c r="E12" s="60">
        <f>SUMPRODUCT((MONTH(ЖУРНАЛ!$B$4:ЖУРНАЛ!$B$103)=B12)*(ЖУРНАЛ!$L$4:ЖУРНАЛ!$L$103&lt;0))</f>
        <v/>
      </c>
      <c r="F12" s="23">
        <f>SUMPRODUCT((MONTH(ЖУРНАЛ!$B$4:ЖУРНАЛ!$B$103)=B12)*IF(ЖУРНАЛ!$L$4:ЖУРНАЛ!$L$103&lt;&gt;"",ЖУРНАЛ!$L$4:ЖУРНАЛ!$L$103,0))</f>
        <v/>
      </c>
      <c r="G12" s="61">
        <f>IF(C12&gt;0,D12/C12*100,"")</f>
        <v/>
      </c>
      <c r="H12" s="62" t="inlineStr"/>
      <c r="I12" s="27" t="inlineStr"/>
      <c r="J12" s="2" t="n"/>
      <c r="K12" s="2" t="n"/>
    </row>
    <row r="13" ht="20" customHeight="1">
      <c r="A13" s="31" t="inlineStr">
        <is>
          <t>Октомври</t>
        </is>
      </c>
      <c r="B13" s="63" t="n">
        <v>10</v>
      </c>
      <c r="C13" s="58">
        <f>SUMPRODUCT((MONTH(ЖУРНАЛ!$B$4:ЖУРНАЛ!$B$103)=B13)*(ЖУРНАЛ!$B$4:ЖУРНАЛ!$B$103&lt;&gt;""))</f>
        <v/>
      </c>
      <c r="D13" s="59">
        <f>SUMPRODUCT((MONTH(ЖУРНАЛ!$B$4:ЖУРНАЛ!$B$103)=B13)*(ЖУРНАЛ!$L$4:ЖУРНАЛ!$L$103&gt;0))</f>
        <v/>
      </c>
      <c r="E13" s="60">
        <f>SUMPRODUCT((MONTH(ЖУРНАЛ!$B$4:ЖУРНАЛ!$B$103)=B13)*(ЖУРНАЛ!$L$4:ЖУРНАЛ!$L$103&lt;0))</f>
        <v/>
      </c>
      <c r="F13" s="23">
        <f>SUMPRODUCT((MONTH(ЖУРНАЛ!$B$4:ЖУРНАЛ!$B$103)=B13)*IF(ЖУРНАЛ!$L$4:ЖУРНАЛ!$L$103&lt;&gt;"",ЖУРНАЛ!$L$4:ЖУРНАЛ!$L$103,0))</f>
        <v/>
      </c>
      <c r="G13" s="61">
        <f>IF(C13&gt;0,D13/C13*100,"")</f>
        <v/>
      </c>
      <c r="H13" s="64" t="inlineStr"/>
      <c r="I13" s="39" t="inlineStr"/>
      <c r="J13" s="2" t="n"/>
      <c r="K13" s="2" t="n"/>
    </row>
    <row r="14" ht="20" customHeight="1">
      <c r="A14" s="16" t="inlineStr">
        <is>
          <t>Ноември</t>
        </is>
      </c>
      <c r="B14" s="57" t="n">
        <v>11</v>
      </c>
      <c r="C14" s="58">
        <f>SUMPRODUCT((MONTH(ЖУРНАЛ!$B$4:ЖУРНАЛ!$B$103)=B14)*(ЖУРНАЛ!$B$4:ЖУРНАЛ!$B$103&lt;&gt;""))</f>
        <v/>
      </c>
      <c r="D14" s="59">
        <f>SUMPRODUCT((MONTH(ЖУРНАЛ!$B$4:ЖУРНАЛ!$B$103)=B14)*(ЖУРНАЛ!$L$4:ЖУРНАЛ!$L$103&gt;0))</f>
        <v/>
      </c>
      <c r="E14" s="60">
        <f>SUMPRODUCT((MONTH(ЖУРНАЛ!$B$4:ЖУРНАЛ!$B$103)=B14)*(ЖУРНАЛ!$L$4:ЖУРНАЛ!$L$103&lt;0))</f>
        <v/>
      </c>
      <c r="F14" s="23">
        <f>SUMPRODUCT((MONTH(ЖУРНАЛ!$B$4:ЖУРНАЛ!$B$103)=B14)*IF(ЖУРНАЛ!$L$4:ЖУРНАЛ!$L$103&lt;&gt;"",ЖУРНАЛ!$L$4:ЖУРНАЛ!$L$103,0))</f>
        <v/>
      </c>
      <c r="G14" s="61">
        <f>IF(C14&gt;0,D14/C14*100,"")</f>
        <v/>
      </c>
      <c r="H14" s="62" t="inlineStr"/>
      <c r="I14" s="27" t="inlineStr"/>
      <c r="J14" s="2" t="n"/>
      <c r="K14" s="2" t="n"/>
    </row>
    <row r="15" ht="20" customHeight="1">
      <c r="A15" s="31" t="inlineStr">
        <is>
          <t>Декември</t>
        </is>
      </c>
      <c r="B15" s="63" t="n">
        <v>12</v>
      </c>
      <c r="C15" s="58">
        <f>SUMPRODUCT((MONTH(ЖУРНАЛ!$B$4:ЖУРНАЛ!$B$103)=B15)*(ЖУРНАЛ!$B$4:ЖУРНАЛ!$B$103&lt;&gt;""))</f>
        <v/>
      </c>
      <c r="D15" s="59">
        <f>SUMPRODUCT((MONTH(ЖУРНАЛ!$B$4:ЖУРНАЛ!$B$103)=B15)*(ЖУРНАЛ!$L$4:ЖУРНАЛ!$L$103&gt;0))</f>
        <v/>
      </c>
      <c r="E15" s="60">
        <f>SUMPRODUCT((MONTH(ЖУРНАЛ!$B$4:ЖУРНАЛ!$B$103)=B15)*(ЖУРНАЛ!$L$4:ЖУРНАЛ!$L$103&lt;0))</f>
        <v/>
      </c>
      <c r="F15" s="23">
        <f>SUMPRODUCT((MONTH(ЖУРНАЛ!$B$4:ЖУРНАЛ!$B$103)=B15)*IF(ЖУРНАЛ!$L$4:ЖУРНАЛ!$L$103&lt;&gt;"",ЖУРНАЛ!$L$4:ЖУРНАЛ!$L$103,0))</f>
        <v/>
      </c>
      <c r="G15" s="61">
        <f>IF(C15&gt;0,D15/C15*100,"")</f>
        <v/>
      </c>
      <c r="H15" s="64" t="inlineStr"/>
      <c r="I15" s="39" t="inlineStr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22" customHeight="1">
      <c r="A17" s="65" t="inlineStr">
        <is>
          <t>ГОДИШНО ОБЩО:</t>
        </is>
      </c>
      <c r="C17" s="66">
        <f>SUM(C4:C15)</f>
        <v/>
      </c>
      <c r="D17" s="59">
        <f>SUM(D4:D15)</f>
        <v/>
      </c>
      <c r="E17" s="60">
        <f>SUM(E4:E15)</f>
        <v/>
      </c>
      <c r="F17" s="23">
        <f>SUM(F4:F15)</f>
        <v/>
      </c>
      <c r="G17" s="67">
        <f>IF(C17&gt;0,D17/C17*100,"")</f>
        <v/>
      </c>
      <c r="H17" s="47" t="n"/>
      <c r="I17" s="47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4" t="inlineStr">
        <is>
          <t>КЛЮЧОВИ МОМЕНТИ ОТ ГОДИНАТА:</t>
        </is>
      </c>
      <c r="J19" s="2" t="n"/>
      <c r="K19" s="2" t="n"/>
    </row>
    <row r="20" ht="22" customHeight="1">
      <c r="A20" s="68" t="inlineStr">
        <is>
          <t>НАЙ-ДОБРА СДЕЛКА:</t>
        </is>
      </c>
      <c r="C20" s="69" t="inlineStr"/>
      <c r="D20" s="46" t="n"/>
      <c r="E20" s="46" t="n"/>
      <c r="F20" s="46" t="n"/>
      <c r="G20" s="46" t="n"/>
      <c r="H20" s="46" t="n"/>
      <c r="I20" s="46" t="n"/>
      <c r="J20" s="2" t="n"/>
      <c r="K20" s="2" t="n"/>
    </row>
    <row r="21" ht="22" customHeight="1">
      <c r="A21" s="68" t="inlineStr">
        <is>
          <t>НАЙ-ЛОША СДЕЛКА:</t>
        </is>
      </c>
      <c r="C21" s="69" t="inlineStr"/>
      <c r="D21" s="46" t="n"/>
      <c r="E21" s="46" t="n"/>
      <c r="F21" s="46" t="n"/>
      <c r="G21" s="46" t="n"/>
      <c r="H21" s="46" t="n"/>
      <c r="I21" s="46" t="n"/>
      <c r="J21" s="2" t="n"/>
      <c r="K21" s="2" t="n"/>
    </row>
    <row r="22" ht="22" customHeight="1">
      <c r="A22" s="68" t="inlineStr">
        <is>
          <t>НАЙ-ВАЖЕН УРОК:</t>
        </is>
      </c>
      <c r="C22" s="69" t="inlineStr"/>
      <c r="D22" s="46" t="n"/>
      <c r="E22" s="46" t="n"/>
      <c r="F22" s="46" t="n"/>
      <c r="G22" s="46" t="n"/>
      <c r="H22" s="46" t="n"/>
      <c r="I22" s="46" t="n"/>
      <c r="J22" s="2" t="n"/>
      <c r="K22" s="2" t="n"/>
    </row>
    <row r="23" ht="22" customHeight="1">
      <c r="A23" s="68" t="inlineStr">
        <is>
          <t>ЦЕЛИ ЗА СЛЕДВАЩАТА ГОДИНА:</t>
        </is>
      </c>
      <c r="C23" s="69" t="inlineStr"/>
      <c r="D23" s="46" t="n"/>
      <c r="E23" s="46" t="n"/>
      <c r="F23" s="46" t="n"/>
      <c r="G23" s="46" t="n"/>
      <c r="H23" s="46" t="n"/>
      <c r="I23" s="46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</sheetData>
  <mergeCells count="11">
    <mergeCell ref="A1:J1"/>
    <mergeCell ref="A20:B20"/>
    <mergeCell ref="A21:B21"/>
    <mergeCell ref="A19:I19"/>
    <mergeCell ref="C22:I22"/>
    <mergeCell ref="C23:I23"/>
    <mergeCell ref="C21:I21"/>
    <mergeCell ref="A23:B23"/>
    <mergeCell ref="C20:I20"/>
    <mergeCell ref="A17:B17"/>
    <mergeCell ref="A22:B22"/>
  </mergeCells>
  <conditionalFormatting sqref="F4:F15">
    <cfRule type="expression" priority="1" dxfId="0">
      <formula>$F4&gt;0</formula>
    </cfRule>
    <cfRule type="expression" priority="2" dxfId="1">
      <formula>$F4&lt;0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2" customWidth="1" min="5" max="5"/>
    <col width="8" customWidth="1" min="6" max="6"/>
    <col width="36" customWidth="1" min="7" max="7"/>
  </cols>
  <sheetData>
    <row r="1" ht="26" customHeight="1">
      <c r="A1" s="10" t="inlineStr">
        <is>
          <t xml:space="preserve">  ПСИХОЛОГИЧЕСКИ ТРЕКЕР  |  HODLClub</t>
        </is>
      </c>
    </row>
    <row r="2" ht="18" customHeight="1">
      <c r="A2" s="11" t="inlineStr">
        <is>
          <t>Емоциите струват пари. Проследи моделите си — данните не лъжат.</t>
        </is>
      </c>
    </row>
    <row r="3" ht="22" customHeight="1">
      <c r="A3" s="13" t="inlineStr">
        <is>
          <t>ЕМОЦИЯ</t>
        </is>
      </c>
      <c r="B3" s="12" t="inlineStr">
        <is>
          <t>БРОЙ ПРЕДИ</t>
        </is>
      </c>
      <c r="C3" s="12" t="inlineStr">
        <is>
          <t>БРОЙ СЛЕД</t>
        </is>
      </c>
      <c r="D3" s="12" t="inlineStr">
        <is>
          <t>P&amp;L ПРИ ТАЗИ ЕМОЦИЯ (USD)</t>
        </is>
      </c>
      <c r="E3" s="12" t="inlineStr">
        <is>
          <t>ЧЕСТОТА (%)</t>
        </is>
      </c>
      <c r="F3" s="12" t="inlineStr">
        <is>
          <t>ЦВ.</t>
        </is>
      </c>
      <c r="G3" s="13" t="inlineStr">
        <is>
          <t>ОПИСАНИЕ / СИМПТОМИ</t>
        </is>
      </c>
    </row>
    <row r="4" ht="22" customHeight="1">
      <c r="A4" s="70" t="inlineStr">
        <is>
          <t>FOMO</t>
        </is>
      </c>
      <c r="B4" s="66">
        <f>COUNTIF(ЖУРНАЛ!$O$4:ЖУРНАЛ!$O$103,A4)</f>
        <v/>
      </c>
      <c r="C4" s="66">
        <f>COUNTIF(ЖУРНАЛ!$P$4:ЖУРНАЛ!$P$103,A4)</f>
        <v/>
      </c>
      <c r="D4" s="23">
        <f>SUMPRODUCT((ЖУРНАЛ!$O$4:ЖУРНАЛ!$O$103=A4)*IF(ЖУРНАЛ!$L$4:ЖУРНАЛ!$L$103&lt;&gt;"",ЖУРНАЛ!$L$4:ЖУРНАЛ!$L$103,0))</f>
        <v/>
      </c>
      <c r="E4" s="61">
        <f>IF(SUM($B$4:$B$11)&gt;0,B4/SUM($B$4:$B$11)*100,"")</f>
        <v/>
      </c>
      <c r="F4" s="71" t="n"/>
      <c r="G4" s="28" t="inlineStr">
        <is>
          <t>Влизаш заради страх от пропускане</t>
        </is>
      </c>
    </row>
    <row r="5" ht="22" customHeight="1">
      <c r="A5" s="72" t="inlineStr">
        <is>
          <t>Страх / Паника</t>
        </is>
      </c>
      <c r="B5" s="66">
        <f>COUNTIF(ЖУРНАЛ!$O$4:ЖУРНАЛ!$O$103,A5)</f>
        <v/>
      </c>
      <c r="C5" s="66">
        <f>COUNTIF(ЖУРНАЛ!$P$4:ЖУРНАЛ!$P$103,A5)</f>
        <v/>
      </c>
      <c r="D5" s="23">
        <f>SUMPRODUCT((ЖУРНАЛ!$O$4:ЖУРНАЛ!$O$103=A5)*IF(ЖУРНАЛ!$L$4:ЖУРНАЛ!$L$103&lt;&gt;"",ЖУРНАЛ!$L$4:ЖУРНАЛ!$L$103,0))</f>
        <v/>
      </c>
      <c r="E5" s="61">
        <f>IF(SUM($B$4:$B$11)&gt;0,B5/SUM($B$4:$B$11)*100,"")</f>
        <v/>
      </c>
      <c r="F5" s="73" t="n"/>
      <c r="G5" s="40" t="inlineStr">
        <is>
          <t>Продаваш при спад без план</t>
        </is>
      </c>
    </row>
    <row r="6" ht="22" customHeight="1">
      <c r="A6" s="70" t="inlineStr">
        <is>
          <t>Алчност</t>
        </is>
      </c>
      <c r="B6" s="66">
        <f>COUNTIF(ЖУРНАЛ!$O$4:ЖУРНАЛ!$O$103,A6)</f>
        <v/>
      </c>
      <c r="C6" s="66">
        <f>COUNTIF(ЖУРНАЛ!$P$4:ЖУРНАЛ!$P$103,A6)</f>
        <v/>
      </c>
      <c r="D6" s="23">
        <f>SUMPRODUCT((ЖУРНАЛ!$O$4:ЖУРНАЛ!$O$103=A6)*IF(ЖУРНАЛ!$L$4:ЖУРНАЛ!$L$103&lt;&gt;"",ЖУРНАЛ!$L$4:ЖУРНАЛ!$L$103,0))</f>
        <v/>
      </c>
      <c r="E6" s="61">
        <f>IF(SUM($B$4:$B$11)&gt;0,B6/SUM($B$4:$B$11)*100,"")</f>
        <v/>
      </c>
      <c r="F6" s="71" t="n"/>
      <c r="G6" s="28" t="inlineStr">
        <is>
          <t>Държиш твърде дълго, пропускаш тейк профит</t>
        </is>
      </c>
    </row>
    <row r="7" ht="22" customHeight="1">
      <c r="A7" s="74" t="inlineStr">
        <is>
          <t>Свръхувереност</t>
        </is>
      </c>
      <c r="B7" s="66">
        <f>COUNTIF(ЖУРНАЛ!$O$4:ЖУРНАЛ!$O$103,A7)</f>
        <v/>
      </c>
      <c r="C7" s="66">
        <f>COUNTIF(ЖУРНАЛ!$P$4:ЖУРНАЛ!$P$103,A7)</f>
        <v/>
      </c>
      <c r="D7" s="23">
        <f>SUMPRODUCT((ЖУРНАЛ!$O$4:ЖУРНАЛ!$O$103=A7)*IF(ЖУРНАЛ!$L$4:ЖУРНАЛ!$L$103&lt;&gt;"",ЖУРНАЛ!$L$4:ЖУРНАЛ!$L$103,0))</f>
        <v/>
      </c>
      <c r="E7" s="61">
        <f>IF(SUM($B$4:$B$11)&gt;0,B7/SUM($B$4:$B$11)*100,"")</f>
        <v/>
      </c>
      <c r="F7" s="75" t="n"/>
      <c r="G7" s="40" t="inlineStr">
        <is>
          <t>Влагаш твърде много след поредна печалба</t>
        </is>
      </c>
    </row>
    <row r="8" ht="22" customHeight="1">
      <c r="A8" s="76" t="inlineStr">
        <is>
          <t>Revenge Trading</t>
        </is>
      </c>
      <c r="B8" s="66">
        <f>COUNTIF(ЖУРНАЛ!$O$4:ЖУРНАЛ!$O$103,A8)</f>
        <v/>
      </c>
      <c r="C8" s="66">
        <f>COUNTIF(ЖУРНАЛ!$P$4:ЖУРНАЛ!$P$103,A8)</f>
        <v/>
      </c>
      <c r="D8" s="23">
        <f>SUMPRODUCT((ЖУРНАЛ!$O$4:ЖУРНАЛ!$O$103=A8)*IF(ЖУРНАЛ!$L$4:ЖУРНАЛ!$L$103&lt;&gt;"",ЖУРНАЛ!$L$4:ЖУРНАЛ!$L$103,0))</f>
        <v/>
      </c>
      <c r="E8" s="61">
        <f>IF(SUM($B$4:$B$11)&gt;0,B8/SUM($B$4:$B$11)*100,"")</f>
        <v/>
      </c>
      <c r="F8" s="73" t="n"/>
      <c r="G8" s="28" t="inlineStr">
        <is>
          <t>Отмъстителна сделка след загуба</t>
        </is>
      </c>
    </row>
    <row r="9" ht="22" customHeight="1">
      <c r="A9" s="77" t="inlineStr">
        <is>
          <t>Скука</t>
        </is>
      </c>
      <c r="B9" s="66">
        <f>COUNTIF(ЖУРНАЛ!$O$4:ЖУРНАЛ!$O$103,A9)</f>
        <v/>
      </c>
      <c r="C9" s="66">
        <f>COUNTIF(ЖУРНАЛ!$P$4:ЖУРНАЛ!$P$103,A9)</f>
        <v/>
      </c>
      <c r="D9" s="23">
        <f>SUMPRODUCT((ЖУРНАЛ!$O$4:ЖУРНАЛ!$O$103=A9)*IF(ЖУРНАЛ!$L$4:ЖУРНАЛ!$L$103&lt;&gt;"",ЖУРНАЛ!$L$4:ЖУРНАЛ!$L$103,0))</f>
        <v/>
      </c>
      <c r="E9" s="61">
        <f>IF(SUM($B$4:$B$11)&gt;0,B9/SUM($B$4:$B$11)*100,"")</f>
        <v/>
      </c>
      <c r="F9" s="78" t="n"/>
      <c r="G9" s="40" t="inlineStr">
        <is>
          <t>Търгуваш без сигнал, само за да правиш нещо</t>
        </is>
      </c>
    </row>
    <row r="10" ht="22" customHeight="1">
      <c r="A10" s="79" t="inlineStr">
        <is>
          <t>Спокоен / Neutral</t>
        </is>
      </c>
      <c r="B10" s="66">
        <f>COUNTIF(ЖУРНАЛ!$O$4:ЖУРНАЛ!$O$103,A10)</f>
        <v/>
      </c>
      <c r="C10" s="66">
        <f>COUNTIF(ЖУРНАЛ!$P$4:ЖУРНАЛ!$P$103,A10)</f>
        <v/>
      </c>
      <c r="D10" s="23">
        <f>SUMPRODUCT((ЖУРНАЛ!$O$4:ЖУРНАЛ!$O$103=A10)*IF(ЖУРНАЛ!$L$4:ЖУРНАЛ!$L$103&lt;&gt;"",ЖУРНАЛ!$L$4:ЖУРНАЛ!$L$103,0))</f>
        <v/>
      </c>
      <c r="E10" s="61">
        <f>IF(SUM($B$4:$B$11)&gt;0,B10/SUM($B$4:$B$11)*100,"")</f>
        <v/>
      </c>
      <c r="F10" s="80" t="n"/>
      <c r="G10" s="28" t="inlineStr">
        <is>
          <t>Решение взето рационално по план</t>
        </is>
      </c>
    </row>
    <row r="11" ht="22" customHeight="1">
      <c r="A11" s="77" t="inlineStr">
        <is>
          <t>Друго</t>
        </is>
      </c>
      <c r="B11" s="66">
        <f>COUNTIF(ЖУРНАЛ!$O$4:ЖУРНАЛ!$O$103,A11)</f>
        <v/>
      </c>
      <c r="C11" s="66">
        <f>COUNTIF(ЖУРНАЛ!$P$4:ЖУРНАЛ!$P$103,A11)</f>
        <v/>
      </c>
      <c r="D11" s="23">
        <f>SUMPRODUCT((ЖУРНАЛ!$O$4:ЖУРНАЛ!$O$103=A11)*IF(ЖУРНАЛ!$L$4:ЖУРНАЛ!$L$103&lt;&gt;"",ЖУРНАЛ!$L$4:ЖУРНАЛ!$L$103,0))</f>
        <v/>
      </c>
      <c r="E11" s="61">
        <f>IF(SUM($B$4:$B$11)&gt;0,B11/SUM($B$4:$B$11)*100,"")</f>
        <v/>
      </c>
      <c r="F11" s="78" t="n"/>
      <c r="G11" s="40" t="inlineStr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 ht="22" customHeight="1">
      <c r="A14" s="54" t="inlineStr">
        <is>
          <t>МОИТЕ СКЪПИ ЕМОЦИОНАЛНИ ГРЕШКИ:</t>
        </is>
      </c>
    </row>
    <row r="15" ht="24" customHeight="1">
      <c r="A15" s="81" t="inlineStr">
        <is>
          <t>ГРЕШКА #1:</t>
        </is>
      </c>
      <c r="B15" s="82" t="inlineStr"/>
      <c r="C15" s="83" t="n"/>
      <c r="D15" s="83" t="n"/>
      <c r="E15" s="83" t="n"/>
      <c r="F15" s="83" t="n"/>
      <c r="G15" s="83" t="n"/>
    </row>
    <row r="16" ht="24" customHeight="1">
      <c r="A16" s="81" t="inlineStr">
        <is>
          <t>ГРЕШКА #2:</t>
        </is>
      </c>
      <c r="B16" s="82" t="inlineStr"/>
      <c r="C16" s="83" t="n"/>
      <c r="D16" s="83" t="n"/>
      <c r="E16" s="83" t="n"/>
      <c r="F16" s="83" t="n"/>
      <c r="G16" s="83" t="n"/>
    </row>
    <row r="17" ht="24" customHeight="1">
      <c r="A17" s="81" t="inlineStr">
        <is>
          <t>ГРЕШКА #3:</t>
        </is>
      </c>
      <c r="B17" s="82" t="inlineStr"/>
      <c r="C17" s="83" t="n"/>
      <c r="D17" s="83" t="n"/>
      <c r="E17" s="83" t="n"/>
      <c r="F17" s="83" t="n"/>
      <c r="G17" s="83" t="n"/>
    </row>
    <row r="18" ht="24" customHeight="1">
      <c r="A18" s="81" t="inlineStr">
        <is>
          <t>ГРЕШКА #4:</t>
        </is>
      </c>
      <c r="B18" s="82" t="inlineStr"/>
      <c r="C18" s="83" t="n"/>
      <c r="D18" s="83" t="n"/>
      <c r="E18" s="83" t="n"/>
      <c r="F18" s="83" t="n"/>
      <c r="G18" s="83" t="n"/>
    </row>
    <row r="19" ht="24" customHeight="1">
      <c r="A19" s="81" t="inlineStr">
        <is>
          <t>ГРЕШКА #5:</t>
        </is>
      </c>
      <c r="B19" s="82" t="inlineStr"/>
      <c r="C19" s="83" t="n"/>
      <c r="D19" s="83" t="n"/>
      <c r="E19" s="83" t="n"/>
      <c r="F19" s="83" t="n"/>
      <c r="G19" s="83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 ht="22" customHeight="1">
      <c r="A21" s="65" t="inlineStr">
        <is>
          <t>АНАЛИЗ: Емоцията с НАЙ-СКЪП P&amp;L:</t>
        </is>
      </c>
      <c r="D21" s="84">
        <f>IF(COUNTIF(D4:D11,"&lt;&gt;"&amp;"")&gt;0,INDEX(A4:A11,MATCH(MIN(D4:D11),D4:D11,0)),"")</f>
        <v/>
      </c>
      <c r="E21" s="5" t="n"/>
      <c r="F21" s="5" t="n"/>
      <c r="G21" s="5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</sheetData>
  <mergeCells count="10">
    <mergeCell ref="B16:G16"/>
    <mergeCell ref="A14:G14"/>
    <mergeCell ref="B19:G19"/>
    <mergeCell ref="A1:G1"/>
    <mergeCell ref="B17:G17"/>
    <mergeCell ref="D21:G21"/>
    <mergeCell ref="A2:G2"/>
    <mergeCell ref="B18:G18"/>
    <mergeCell ref="A21:C21"/>
    <mergeCell ref="B15:G15"/>
  </mergeCells>
  <conditionalFormatting sqref="D4:D11">
    <cfRule type="expression" priority="1" dxfId="0">
      <formula>$D4&gt;0</formula>
    </cfRule>
    <cfRule type="expression" priority="2" dxfId="1">
      <formula>$D4&lt;0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440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26" customHeight="1">
      <c r="A1" s="10" t="inlineStr">
        <is>
          <t xml:space="preserve">  ГОДИШЕН ПРЕГЛЕД  |  HODLClub</t>
        </is>
      </c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54" t="inlineStr">
        <is>
          <t>ОБЩА ЕФЕКТИВНОСТ (AUTO)</t>
        </is>
      </c>
    </row>
    <row r="4" ht="20" customHeight="1">
      <c r="A4" s="85" t="inlineStr">
        <is>
          <t>Общ P&amp;L (USD)</t>
        </is>
      </c>
      <c r="E4" s="86">
        <f>МЕСЕЧЕН\ ОБЗОР!F17</f>
        <v/>
      </c>
      <c r="F4" s="5" t="n"/>
      <c r="G4" s="5" t="n"/>
      <c r="H4" s="5" t="n"/>
    </row>
    <row r="5" ht="20" customHeight="1">
      <c r="A5" s="87" t="inlineStr">
        <is>
          <t>Общо сделки</t>
        </is>
      </c>
      <c r="E5" s="86">
        <f>МЕСЕЧЕН\ ОБЗОР!C17</f>
        <v/>
      </c>
      <c r="F5" s="5" t="n"/>
      <c r="G5" s="5" t="n"/>
      <c r="H5" s="5" t="n"/>
    </row>
    <row r="6" ht="20" customHeight="1">
      <c r="A6" s="85" t="inlineStr">
        <is>
          <t>Печеливши сделки</t>
        </is>
      </c>
      <c r="E6" s="86">
        <f>МЕСЕЧЕН\ ОБЗОР!D17</f>
        <v/>
      </c>
      <c r="F6" s="5" t="n"/>
      <c r="G6" s="5" t="n"/>
      <c r="H6" s="5" t="n"/>
    </row>
    <row r="7" ht="20" customHeight="1">
      <c r="A7" s="87" t="inlineStr">
        <is>
          <t>Губещи сделки</t>
        </is>
      </c>
      <c r="E7" s="86">
        <f>МЕСЕЧЕН\ ОБЗОР!E17</f>
        <v/>
      </c>
      <c r="F7" s="5" t="n"/>
      <c r="G7" s="5" t="n"/>
      <c r="H7" s="5" t="n"/>
    </row>
    <row r="8" ht="20" customHeight="1">
      <c r="A8" s="85" t="inlineStr">
        <is>
          <t>Win Rate (%)</t>
        </is>
      </c>
      <c r="E8" s="86">
        <f>МЕСЕЧЕН\ ОБЗОР!G17</f>
        <v/>
      </c>
      <c r="F8" s="5" t="n"/>
      <c r="G8" s="5" t="n"/>
      <c r="H8" s="5" t="n"/>
    </row>
    <row r="9" ht="20" customHeight="1">
      <c r="A9" s="87" t="inlineStr">
        <is>
          <t>Най-добър месец P&amp;L</t>
        </is>
      </c>
      <c r="E9" s="86">
        <f>MAX('МЕСЕЧЕН ОБЗОР'!F4:F15)</f>
        <v/>
      </c>
      <c r="F9" s="5" t="n"/>
      <c r="G9" s="5" t="n"/>
      <c r="H9" s="5" t="n"/>
    </row>
    <row r="10" ht="20" customHeight="1">
      <c r="A10" s="85" t="inlineStr">
        <is>
          <t>Най-лош месец P&amp;L</t>
        </is>
      </c>
      <c r="E10" s="86">
        <f>MIN('МЕСЕЧЕН ОБЗОР'!F4:F15)</f>
        <v/>
      </c>
      <c r="F10" s="5" t="n"/>
      <c r="G10" s="5" t="n"/>
      <c r="H10" s="5" t="n"/>
    </row>
    <row r="11" ht="20" customHeight="1">
      <c r="A11" s="87" t="inlineStr">
        <is>
          <t>Общо такси платени</t>
        </is>
      </c>
      <c r="E11" s="86">
        <f>SUM('ЖУРНАЛ'!K4:K103)</f>
        <v/>
      </c>
      <c r="F11" s="5" t="n"/>
      <c r="G11" s="5" t="n"/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0" customHeight="1">
      <c r="A14" s="65" t="inlineStr">
        <is>
          <t>НАЙ-ВАЖНИТЕ 3 УРОКА ОТ ТАЗИ ГОДИНА:</t>
        </is>
      </c>
    </row>
    <row r="15" ht="28" customHeight="1">
      <c r="A15" s="88" t="inlineStr"/>
      <c r="B15" s="46" t="n"/>
      <c r="C15" s="46" t="n"/>
      <c r="D15" s="46" t="n"/>
      <c r="E15" s="46" t="n"/>
      <c r="F15" s="46" t="n"/>
      <c r="G15" s="46" t="n"/>
      <c r="H15" s="46" t="n"/>
    </row>
    <row r="16" ht="28" customHeight="1">
      <c r="A16" s="88" t="inlineStr"/>
      <c r="B16" s="46" t="n"/>
      <c r="C16" s="46" t="n"/>
      <c r="D16" s="46" t="n"/>
      <c r="E16" s="46" t="n"/>
      <c r="F16" s="46" t="n"/>
      <c r="G16" s="46" t="n"/>
      <c r="H16" s="46" t="n"/>
    </row>
    <row r="17" ht="28" customHeight="1">
      <c r="A17" s="88" t="inlineStr"/>
      <c r="B17" s="46" t="n"/>
      <c r="C17" s="46" t="n"/>
      <c r="D17" s="46" t="n"/>
      <c r="E17" s="46" t="n"/>
      <c r="F17" s="46" t="n"/>
      <c r="G17" s="46" t="n"/>
      <c r="H17" s="4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 ht="20" customHeight="1">
      <c r="A19" s="89" t="inlineStr">
        <is>
          <t>КАКВО ЩЕ ПРАВЯ РАЗЛИЧНО СЛЕДВАЩАТА ГОДИНА:</t>
        </is>
      </c>
    </row>
    <row r="20" ht="28" customHeight="1">
      <c r="A20" s="90" t="inlineStr"/>
      <c r="B20" s="91" t="n"/>
      <c r="C20" s="91" t="n"/>
      <c r="D20" s="91" t="n"/>
      <c r="E20" s="91" t="n"/>
      <c r="F20" s="91" t="n"/>
      <c r="G20" s="91" t="n"/>
      <c r="H20" s="91" t="n"/>
    </row>
    <row r="21" ht="28" customHeight="1">
      <c r="A21" s="90" t="inlineStr"/>
      <c r="B21" s="91" t="n"/>
      <c r="C21" s="91" t="n"/>
      <c r="D21" s="91" t="n"/>
      <c r="E21" s="91" t="n"/>
      <c r="F21" s="91" t="n"/>
      <c r="G21" s="91" t="n"/>
      <c r="H21" s="91" t="n"/>
    </row>
    <row r="22" ht="28" customHeight="1">
      <c r="A22" s="90" t="inlineStr"/>
      <c r="B22" s="91" t="n"/>
      <c r="C22" s="91" t="n"/>
      <c r="D22" s="91" t="n"/>
      <c r="E22" s="91" t="n"/>
      <c r="F22" s="91" t="n"/>
      <c r="G22" s="91" t="n"/>
      <c r="H22" s="91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0" customHeight="1">
      <c r="A24" s="92" t="inlineStr">
        <is>
          <t>СТРАТЕГИЧЕСКИ ЦЕЛИ ЗА СЛЕДВАЩАТА ГОДИНА:</t>
        </is>
      </c>
    </row>
    <row r="25" ht="28" customHeight="1">
      <c r="A25" s="93" t="inlineStr"/>
      <c r="B25" s="94" t="n"/>
      <c r="C25" s="94" t="n"/>
      <c r="D25" s="94" t="n"/>
      <c r="E25" s="94" t="n"/>
      <c r="F25" s="94" t="n"/>
      <c r="G25" s="94" t="n"/>
      <c r="H25" s="94" t="n"/>
    </row>
    <row r="26" ht="28" customHeight="1">
      <c r="A26" s="93" t="inlineStr"/>
      <c r="B26" s="94" t="n"/>
      <c r="C26" s="94" t="n"/>
      <c r="D26" s="94" t="n"/>
      <c r="E26" s="94" t="n"/>
      <c r="F26" s="94" t="n"/>
      <c r="G26" s="94" t="n"/>
      <c r="H26" s="94" t="n"/>
    </row>
    <row r="27" ht="28" customHeight="1">
      <c r="A27" s="93" t="inlineStr"/>
      <c r="B27" s="94" t="n"/>
      <c r="C27" s="94" t="n"/>
      <c r="D27" s="94" t="n"/>
      <c r="E27" s="94" t="n"/>
      <c r="F27" s="94" t="n"/>
      <c r="G27" s="94" t="n"/>
      <c r="H27" s="94" t="n"/>
    </row>
    <row r="28" ht="28" customHeight="1">
      <c r="A28" s="93" t="inlineStr"/>
      <c r="B28" s="94" t="n"/>
      <c r="C28" s="94" t="n"/>
      <c r="D28" s="94" t="n"/>
      <c r="E28" s="94" t="n"/>
      <c r="F28" s="94" t="n"/>
      <c r="G28" s="94" t="n"/>
      <c r="H28" s="94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 ht="20" customHeight="1">
      <c r="A30" s="95" t="inlineStr">
        <is>
          <t>ПРОМЕНИ В РИСК МЕНИДЖМЪНТА:</t>
        </is>
      </c>
    </row>
    <row r="31" ht="28" customHeight="1">
      <c r="A31" s="96" t="inlineStr"/>
      <c r="B31" s="97" t="n"/>
      <c r="C31" s="97" t="n"/>
      <c r="D31" s="97" t="n"/>
      <c r="E31" s="97" t="n"/>
      <c r="F31" s="97" t="n"/>
      <c r="G31" s="97" t="n"/>
      <c r="H31" s="97" t="n"/>
    </row>
    <row r="32" ht="28" customHeight="1">
      <c r="A32" s="96" t="inlineStr"/>
      <c r="B32" s="97" t="n"/>
      <c r="C32" s="97" t="n"/>
      <c r="D32" s="97" t="n"/>
      <c r="E32" s="97" t="n"/>
      <c r="F32" s="97" t="n"/>
      <c r="G32" s="97" t="n"/>
      <c r="H32" s="97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 ht="20" customHeight="1">
      <c r="A34" s="98" t="inlineStr">
        <is>
          <t>БЕЛЕЖКИ:</t>
        </is>
      </c>
    </row>
    <row r="35" ht="28" customHeight="1">
      <c r="A35" s="99" t="inlineStr"/>
      <c r="B35" s="100" t="n"/>
      <c r="C35" s="100" t="n"/>
      <c r="D35" s="100" t="n"/>
      <c r="E35" s="100" t="n"/>
      <c r="F35" s="100" t="n"/>
      <c r="G35" s="100" t="n"/>
      <c r="H35" s="100" t="n"/>
    </row>
    <row r="36" ht="28" customHeight="1">
      <c r="A36" s="99" t="inlineStr"/>
      <c r="B36" s="100" t="n"/>
      <c r="C36" s="100" t="n"/>
      <c r="D36" s="100" t="n"/>
      <c r="E36" s="100" t="n"/>
      <c r="F36" s="100" t="n"/>
      <c r="G36" s="100" t="n"/>
      <c r="H36" s="100" t="n"/>
    </row>
    <row r="37" ht="28" customHeight="1">
      <c r="A37" s="99" t="inlineStr"/>
      <c r="B37" s="100" t="n"/>
      <c r="C37" s="100" t="n"/>
      <c r="D37" s="100" t="n"/>
      <c r="E37" s="100" t="n"/>
      <c r="F37" s="100" t="n"/>
      <c r="G37" s="100" t="n"/>
      <c r="H37" s="100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 ht="40" customHeight="1">
      <c r="A40" s="101" t="inlineStr">
        <is>
          <t>ВАЖНО:</t>
        </is>
      </c>
      <c r="C40" s="102" t="inlineStr">
        <is>
          <t>Цялото съдържание е с образователна цел единствено и не представлява финансов съвет или инвестиционна препоръка. Инвестициите в криптовалути носят висок риск — стойността им може да спадне до нула. HODLClub не носи отговорност за финансови загуби. Вижте листа "ВАЖНО" за повече информация.</t>
        </is>
      </c>
    </row>
  </sheetData>
  <mergeCells count="40">
    <mergeCell ref="A5:D5"/>
    <mergeCell ref="A30:H30"/>
    <mergeCell ref="A8:D8"/>
    <mergeCell ref="A15:H15"/>
    <mergeCell ref="A4:D4"/>
    <mergeCell ref="A24:H24"/>
    <mergeCell ref="C40:H40"/>
    <mergeCell ref="A36:H36"/>
    <mergeCell ref="E7:H7"/>
    <mergeCell ref="A1:H1"/>
    <mergeCell ref="A10:D10"/>
    <mergeCell ref="A9:D9"/>
    <mergeCell ref="A25:H25"/>
    <mergeCell ref="A16:H16"/>
    <mergeCell ref="A11:D11"/>
    <mergeCell ref="A37:H37"/>
    <mergeCell ref="A27:H27"/>
    <mergeCell ref="E5:H5"/>
    <mergeCell ref="A3:H3"/>
    <mergeCell ref="A21:H21"/>
    <mergeCell ref="A26:H26"/>
    <mergeCell ref="A6:D6"/>
    <mergeCell ref="E8:H8"/>
    <mergeCell ref="E4:H4"/>
    <mergeCell ref="A7:D7"/>
    <mergeCell ref="A14:H14"/>
    <mergeCell ref="A32:H32"/>
    <mergeCell ref="E10:H10"/>
    <mergeCell ref="A22:H22"/>
    <mergeCell ref="A17:H17"/>
    <mergeCell ref="E9:H9"/>
    <mergeCell ref="A35:H35"/>
    <mergeCell ref="A20:H20"/>
    <mergeCell ref="E6:H6"/>
    <mergeCell ref="A28:H28"/>
    <mergeCell ref="A19:H19"/>
    <mergeCell ref="A40:B40"/>
    <mergeCell ref="E11:H11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2026-05-04T07:00:39Z</dcterms:created>
  <dcterms:modified xsi:type="dcterms:W3CDTF">2026-05-04T07:00:39Z</dcterms:modified>
</cp:coreProperties>
</file>